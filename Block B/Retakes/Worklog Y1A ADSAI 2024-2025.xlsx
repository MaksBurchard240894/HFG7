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maksb\OneDrive\Documents\GitHub\2024-25A-FAI1-ADSAI--MaksBurchard240894\Deliverables\Prerequisites\"/>
    </mc:Choice>
  </mc:AlternateContent>
  <xr:revisionPtr revIDLastSave="0" documentId="13_ncr:1_{99956C66-AF4F-485B-8E8D-688949722A4B}" xr6:coauthVersionLast="47" xr6:coauthVersionMax="47" xr10:uidLastSave="{00000000-0000-0000-0000-000000000000}"/>
  <bookViews>
    <workbookView xWindow="-108" yWindow="-108" windowWidth="23256" windowHeight="12576" xr2:uid="{00000000-000D-0000-FFFF-FFFF00000000}"/>
  </bookViews>
  <sheets>
    <sheet name="Worklog_Tasks&amp;Times" sheetId="1" r:id="rId1"/>
    <sheet name="Overview" sheetId="2" r:id="rId2"/>
    <sheet name="Drop-downs" sheetId="3" state="hidden" r:id="rId3"/>
  </sheets>
  <definedNames>
    <definedName name="_xlnm._FilterDatabase" localSheetId="0" hidden="1">'Worklog_Tasks&amp;Times'!$A$1:$K$25</definedName>
    <definedName name="_xlnm.Print_Area" localSheetId="0">'Worklog_Tasks&amp;Times'!$A$1:$K$298</definedName>
    <definedName name="Z_8BAC9A6B_5D32_4E8D_967D_E17D357516F8_.wvu.FilterData" localSheetId="0" hidden="1">'Worklog_Tasks&amp;Times'!$A$1:$K$25</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4" i="1" l="1"/>
  <c r="G296" i="1"/>
  <c r="H296" i="1"/>
  <c r="I291" i="1"/>
  <c r="I290" i="1" l="1"/>
  <c r="I295" i="1"/>
  <c r="I287" i="1"/>
  <c r="I286" i="1"/>
  <c r="I288" i="1"/>
  <c r="I289" i="1"/>
  <c r="I283" i="1"/>
  <c r="I282" i="1"/>
  <c r="I276" i="1"/>
  <c r="I281" i="1"/>
  <c r="I280" i="1" l="1"/>
  <c r="I279" i="1"/>
  <c r="I278" i="1"/>
  <c r="I277" i="1"/>
  <c r="I275" i="1"/>
  <c r="I274" i="1"/>
  <c r="I273" i="1"/>
  <c r="I272" i="1"/>
  <c r="I271" i="1"/>
  <c r="I269" i="1"/>
  <c r="I268" i="1"/>
  <c r="I267" i="1"/>
  <c r="I265" i="1"/>
  <c r="I264" i="1"/>
  <c r="I263" i="1"/>
  <c r="I262" i="1"/>
  <c r="I261" i="1"/>
  <c r="I260" i="1"/>
  <c r="I259" i="1"/>
  <c r="I258" i="1"/>
  <c r="I257" i="1"/>
  <c r="I247" i="1"/>
  <c r="I246" i="1"/>
  <c r="I248" i="1"/>
  <c r="I249" i="1"/>
  <c r="I243" i="1"/>
  <c r="I245" i="1"/>
  <c r="I244" i="1"/>
  <c r="I242" i="1"/>
  <c r="H229" i="1"/>
  <c r="I228" i="1"/>
  <c r="I227" i="1"/>
  <c r="G229" i="1"/>
  <c r="I224" i="1"/>
  <c r="I222" i="1"/>
  <c r="I220" i="1"/>
  <c r="I216" i="1"/>
  <c r="I217" i="1"/>
  <c r="I218" i="1"/>
  <c r="I219" i="1"/>
  <c r="I221" i="1"/>
  <c r="I223" i="1"/>
  <c r="I225" i="1"/>
  <c r="I215" i="1"/>
  <c r="I214" i="1"/>
  <c r="I213" i="1"/>
  <c r="I212" i="1"/>
  <c r="I211" i="1"/>
  <c r="I210" i="1"/>
  <c r="I209" i="1"/>
  <c r="I207" i="1"/>
  <c r="I208" i="1"/>
  <c r="I186" i="1"/>
  <c r="I184" i="1"/>
  <c r="I183" i="1"/>
  <c r="I192" i="1"/>
  <c r="I191" i="1"/>
  <c r="I181" i="1"/>
  <c r="I177" i="1"/>
  <c r="I178" i="1"/>
  <c r="I179" i="1"/>
  <c r="I180" i="1"/>
  <c r="I182" i="1"/>
  <c r="I176" i="1"/>
  <c r="I188" i="1"/>
  <c r="I190" i="1"/>
  <c r="I175" i="1"/>
  <c r="I174" i="1"/>
  <c r="I173" i="1"/>
  <c r="I185" i="1"/>
  <c r="I172" i="1"/>
  <c r="I171" i="1"/>
  <c r="I170" i="1"/>
  <c r="I169" i="1"/>
  <c r="I168" i="1"/>
  <c r="I167" i="1"/>
  <c r="I166" i="1"/>
  <c r="I165" i="1"/>
  <c r="I164" i="1"/>
  <c r="I163" i="1"/>
  <c r="I140" i="1"/>
  <c r="I145" i="1"/>
  <c r="I143" i="1"/>
  <c r="I146" i="1"/>
  <c r="I151" i="1"/>
  <c r="I135" i="1"/>
  <c r="I136" i="1"/>
  <c r="I137" i="1"/>
  <c r="I138" i="1"/>
  <c r="I139" i="1"/>
  <c r="I141" i="1"/>
  <c r="I142" i="1"/>
  <c r="I144" i="1"/>
  <c r="I134" i="1"/>
  <c r="I132" i="1"/>
  <c r="I133" i="1"/>
  <c r="I147" i="1"/>
  <c r="I131" i="1"/>
  <c r="I130" i="1"/>
  <c r="I150" i="1"/>
  <c r="I149" i="1"/>
  <c r="I148" i="1"/>
  <c r="I129" i="1"/>
  <c r="I125" i="1"/>
  <c r="I122" i="1"/>
  <c r="I128" i="1"/>
  <c r="I127" i="1"/>
  <c r="I126" i="1"/>
  <c r="I124" i="1"/>
  <c r="I123" i="1"/>
  <c r="I121" i="1"/>
  <c r="I119" i="1"/>
  <c r="I120" i="1"/>
  <c r="I118" i="1"/>
  <c r="I117" i="1"/>
  <c r="I109" i="1"/>
  <c r="I105" i="1"/>
  <c r="I116" i="1"/>
  <c r="I115" i="1"/>
  <c r="I114" i="1"/>
  <c r="I113" i="1"/>
  <c r="I112" i="1"/>
  <c r="I111" i="1"/>
  <c r="I110" i="1"/>
  <c r="I108" i="1"/>
  <c r="I107" i="1"/>
  <c r="I106" i="1"/>
  <c r="I104" i="1"/>
  <c r="I103" i="1"/>
  <c r="I86" i="1"/>
  <c r="I85" i="1"/>
  <c r="I84" i="1"/>
  <c r="I81" i="1"/>
  <c r="I78" i="1"/>
  <c r="I88" i="1"/>
  <c r="I87" i="1"/>
  <c r="I83" i="1"/>
  <c r="I82" i="1"/>
  <c r="I80" i="1"/>
  <c r="I79" i="1"/>
  <c r="I77" i="1"/>
  <c r="I20" i="1"/>
  <c r="I19" i="1"/>
  <c r="I15" i="1"/>
  <c r="I14" i="1"/>
  <c r="I10" i="1"/>
  <c r="I8" i="1"/>
  <c r="I6" i="1"/>
  <c r="I7" i="1"/>
  <c r="I76" i="1"/>
  <c r="I17" i="1"/>
  <c r="I18" i="1"/>
  <c r="I16" i="1"/>
  <c r="I5" i="1"/>
  <c r="I75" i="1"/>
  <c r="I74" i="1"/>
  <c r="I73" i="1"/>
  <c r="I72" i="1"/>
  <c r="I71" i="1"/>
  <c r="I70" i="1"/>
  <c r="I31" i="1"/>
  <c r="I45" i="1"/>
  <c r="I55" i="1"/>
  <c r="I54" i="1"/>
  <c r="I53" i="1"/>
  <c r="I52" i="1"/>
  <c r="I51" i="1"/>
  <c r="I50" i="1"/>
  <c r="I49" i="1"/>
  <c r="I48" i="1"/>
  <c r="I47" i="1"/>
  <c r="I46" i="1"/>
  <c r="I44" i="1"/>
  <c r="I35" i="1"/>
  <c r="I34" i="1"/>
  <c r="I33" i="1"/>
  <c r="I42" i="1"/>
  <c r="I43" i="1"/>
  <c r="I30" i="1"/>
  <c r="E5" i="2" a="1"/>
  <c r="E5" i="2" s="1"/>
  <c r="F5" i="2" a="1"/>
  <c r="F5" i="2" s="1"/>
  <c r="G5" i="2" a="1"/>
  <c r="G5" i="2" s="1"/>
  <c r="H5" i="2" a="1"/>
  <c r="H5" i="2" s="1"/>
  <c r="I5" i="2" a="1"/>
  <c r="I5" i="2" s="1"/>
  <c r="J5" i="2" a="1"/>
  <c r="J5" i="2" s="1"/>
  <c r="E6" i="2" a="1"/>
  <c r="E6" i="2" s="1"/>
  <c r="F6" i="2" a="1"/>
  <c r="F6" i="2" s="1"/>
  <c r="G6" i="2" a="1"/>
  <c r="G6" i="2" s="1"/>
  <c r="H6" i="2" a="1"/>
  <c r="H6" i="2" s="1"/>
  <c r="I6" i="2" a="1"/>
  <c r="I6" i="2" s="1"/>
  <c r="J6" i="2" a="1"/>
  <c r="J6" i="2" s="1"/>
  <c r="E7" i="2" a="1"/>
  <c r="E7" i="2" s="1"/>
  <c r="F7" i="2" a="1"/>
  <c r="F7" i="2" s="1"/>
  <c r="G7" i="2" a="1"/>
  <c r="G7" i="2" s="1"/>
  <c r="H7" i="2" a="1"/>
  <c r="H7" i="2" s="1"/>
  <c r="I7" i="2" a="1"/>
  <c r="I7" i="2" s="1"/>
  <c r="J7" i="2" a="1"/>
  <c r="J7" i="2" s="1"/>
  <c r="E8" i="2" a="1"/>
  <c r="E8" i="2" s="1"/>
  <c r="F8" i="2" a="1"/>
  <c r="F8" i="2" s="1"/>
  <c r="G8" i="2" a="1"/>
  <c r="G8" i="2" s="1"/>
  <c r="H8" i="2" a="1"/>
  <c r="H8" i="2" s="1"/>
  <c r="I8" i="2" a="1"/>
  <c r="I8" i="2" s="1"/>
  <c r="J8" i="2" a="1"/>
  <c r="J8" i="2" s="1"/>
  <c r="E9" i="2" a="1"/>
  <c r="E9" i="2" s="1"/>
  <c r="F9" i="2" a="1"/>
  <c r="F9" i="2" s="1"/>
  <c r="G9" i="2" a="1"/>
  <c r="G9" i="2" s="1"/>
  <c r="H9" i="2" a="1"/>
  <c r="H9" i="2" s="1"/>
  <c r="I9" i="2" a="1"/>
  <c r="I9" i="2" s="1"/>
  <c r="J9" i="2" a="1"/>
  <c r="J9" i="2" s="1"/>
  <c r="E10" i="2" a="1"/>
  <c r="E10" i="2" s="1"/>
  <c r="F10" i="2" a="1"/>
  <c r="F10" i="2" s="1"/>
  <c r="G10" i="2" a="1"/>
  <c r="G10" i="2" s="1"/>
  <c r="H10" i="2" a="1"/>
  <c r="H10" i="2" s="1"/>
  <c r="I10" i="2" a="1"/>
  <c r="I10" i="2" s="1"/>
  <c r="J10" i="2" a="1"/>
  <c r="J10" i="2" s="1"/>
  <c r="J4" i="2" a="1"/>
  <c r="J4" i="2" s="1"/>
  <c r="I4" i="2" a="1"/>
  <c r="I4" i="2" s="1"/>
  <c r="H4" i="2" a="1"/>
  <c r="H4" i="2" s="1"/>
  <c r="G4" i="2" a="1"/>
  <c r="G4" i="2" s="1"/>
  <c r="F4" i="2" a="1"/>
  <c r="F4" i="2" s="1"/>
  <c r="E4" i="2" a="1"/>
  <c r="E4" i="2" s="1"/>
  <c r="D5" i="2" a="1"/>
  <c r="D5" i="2" s="1"/>
  <c r="D6" i="2" a="1"/>
  <c r="D6" i="2" s="1"/>
  <c r="D7" i="2" a="1"/>
  <c r="D7" i="2" s="1"/>
  <c r="D8" i="2" a="1"/>
  <c r="D8" i="2" s="1"/>
  <c r="D9" i="2" a="1"/>
  <c r="D9" i="2" s="1"/>
  <c r="D10" i="2" a="1"/>
  <c r="D10" i="2" s="1"/>
  <c r="D4" i="2" a="1"/>
  <c r="D4" i="2" s="1"/>
  <c r="C10" i="2" a="1"/>
  <c r="C10" i="2" s="1"/>
  <c r="C9" i="2" a="1"/>
  <c r="C9" i="2" s="1"/>
  <c r="C8" i="2" a="1"/>
  <c r="C8" i="2" s="1"/>
  <c r="C7" i="2" a="1"/>
  <c r="C7" i="2" s="1"/>
  <c r="C6" i="2" a="1"/>
  <c r="C6" i="2" s="1"/>
  <c r="C4" i="2" a="1"/>
  <c r="C4" i="2" s="1"/>
  <c r="C5" i="2" a="1"/>
  <c r="C5" i="2" s="1"/>
  <c r="B10" i="2"/>
  <c r="B9" i="2"/>
  <c r="B8" i="2"/>
  <c r="B7" i="2"/>
  <c r="B6" i="2"/>
  <c r="B5" i="2"/>
  <c r="B4" i="2"/>
  <c r="K3" i="2"/>
  <c r="B3" i="2"/>
  <c r="I293" i="1"/>
  <c r="I292" i="1"/>
  <c r="I284" i="1"/>
  <c r="I270" i="1"/>
  <c r="I266" i="1"/>
  <c r="I256" i="1"/>
  <c r="I285" i="1"/>
  <c r="I255" i="1"/>
  <c r="I254" i="1"/>
  <c r="H250" i="1"/>
  <c r="G250" i="1"/>
  <c r="I241" i="1"/>
  <c r="I240" i="1"/>
  <c r="I239" i="1"/>
  <c r="I238" i="1"/>
  <c r="I237" i="1"/>
  <c r="I236" i="1"/>
  <c r="I235" i="1"/>
  <c r="I234" i="1"/>
  <c r="I233" i="1"/>
  <c r="I226" i="1"/>
  <c r="I206" i="1"/>
  <c r="I205" i="1"/>
  <c r="I204" i="1"/>
  <c r="I203" i="1"/>
  <c r="I202" i="1"/>
  <c r="I201" i="1"/>
  <c r="I200" i="1"/>
  <c r="I199" i="1"/>
  <c r="I198" i="1"/>
  <c r="H194" i="1"/>
  <c r="G194" i="1"/>
  <c r="I193" i="1"/>
  <c r="I189" i="1"/>
  <c r="I187" i="1"/>
  <c r="I162" i="1"/>
  <c r="I161" i="1"/>
  <c r="I160" i="1"/>
  <c r="I159" i="1"/>
  <c r="I158" i="1"/>
  <c r="I157" i="1"/>
  <c r="I156" i="1"/>
  <c r="H152" i="1"/>
  <c r="G152" i="1"/>
  <c r="I102" i="1"/>
  <c r="I101" i="1"/>
  <c r="I100" i="1"/>
  <c r="I99" i="1"/>
  <c r="I98" i="1"/>
  <c r="I97" i="1"/>
  <c r="I96" i="1"/>
  <c r="I95" i="1"/>
  <c r="I94" i="1"/>
  <c r="H90" i="1"/>
  <c r="G90" i="1"/>
  <c r="I89" i="1"/>
  <c r="I69" i="1"/>
  <c r="I68" i="1"/>
  <c r="I67" i="1"/>
  <c r="I66" i="1"/>
  <c r="I65" i="1"/>
  <c r="I64" i="1"/>
  <c r="I63" i="1"/>
  <c r="I62" i="1"/>
  <c r="I61" i="1"/>
  <c r="H57" i="1"/>
  <c r="G57" i="1"/>
  <c r="I56" i="1"/>
  <c r="I41" i="1"/>
  <c r="I40" i="1"/>
  <c r="I39" i="1"/>
  <c r="I38" i="1"/>
  <c r="I37" i="1"/>
  <c r="I36" i="1"/>
  <c r="I32" i="1"/>
  <c r="I29" i="1"/>
  <c r="H25" i="1"/>
  <c r="G25" i="1"/>
  <c r="I24" i="1"/>
  <c r="I23" i="1"/>
  <c r="I22" i="1"/>
  <c r="I21" i="1"/>
  <c r="I13" i="1"/>
  <c r="I12" i="1"/>
  <c r="I11" i="1"/>
  <c r="I9" i="1"/>
  <c r="I194" i="1" l="1"/>
  <c r="J11" i="2"/>
  <c r="G11" i="2"/>
  <c r="F11" i="2"/>
  <c r="H11" i="2"/>
  <c r="I11" i="2"/>
  <c r="E11" i="2"/>
  <c r="K5" i="2"/>
  <c r="K7" i="2"/>
  <c r="K8" i="2"/>
  <c r="K9" i="2"/>
  <c r="D11" i="2"/>
  <c r="K6" i="2"/>
  <c r="K10" i="2"/>
  <c r="H298" i="1"/>
  <c r="C11" i="2"/>
  <c r="K4" i="2"/>
  <c r="I25" i="1"/>
  <c r="I57" i="1"/>
  <c r="I90" i="1"/>
  <c r="I152" i="1"/>
  <c r="I229" i="1"/>
  <c r="I250" i="1"/>
  <c r="I296" i="1"/>
  <c r="G298" i="1"/>
  <c r="I298"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<sst xmlns="http://schemas.openxmlformats.org/spreadsheetml/2006/main" count="1694" uniqueCount="540">
  <si>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</si>
  <si>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</si>
  <si>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</si>
  <si>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</si>
  <si>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</si>
  <si>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</si>
  <si>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</si>
  <si>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</si>
  <si>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</si>
  <si>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</si>
  <si>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</si>
  <si>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</si>
  <si>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</si>
  <si>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</si>
  <si>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</si>
  <si>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</si>
  <si>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Max 4 hours tasks</t>
  </si>
  <si>
    <t>ILO 0.1</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</si>
  <si>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</si>
  <si>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</si>
  <si>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</si>
  <si>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</si>
  <si>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</si>
  <si>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</si>
  <si>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</si>
  <si>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</si>
  <si>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 xml:space="preserve">Week 8 </t>
  </si>
  <si>
    <t>Total hours this block</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</si>
  <si>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</si>
  <si>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</si>
  <si>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</si>
  <si>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</si>
  <si>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</si>
  <si>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</si>
  <si>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</si>
  <si>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</si>
  <si>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</si>
  <si>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</si>
  <si>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</si>
  <si>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</si>
  <si>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</si>
  <si>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Task Status</t>
  </si>
  <si>
    <t>ILO selection</t>
  </si>
  <si>
    <t>-</t>
  </si>
  <si>
    <t>Planned</t>
  </si>
  <si>
    <t>Design</t>
  </si>
  <si>
    <t>Unplanned</t>
  </si>
  <si>
    <t>Meeting</t>
  </si>
  <si>
    <t>ILO 0.2</t>
  </si>
  <si>
    <t>Blocked</t>
  </si>
  <si>
    <t>Programming</t>
  </si>
  <si>
    <t>ILO 1.1</t>
  </si>
  <si>
    <t>In-Progress</t>
  </si>
  <si>
    <t>Research</t>
  </si>
  <si>
    <t>ILO 2.1</t>
  </si>
  <si>
    <t>Done</t>
  </si>
  <si>
    <t>Testing</t>
  </si>
  <si>
    <t>ILO 3.1</t>
  </si>
  <si>
    <t>Delayed</t>
  </si>
  <si>
    <t>Workshop</t>
  </si>
  <si>
    <t>ILO 7.1</t>
  </si>
  <si>
    <t>Cancelled</t>
  </si>
  <si>
    <t>Planning</t>
  </si>
  <si>
    <t>ILO 10.1</t>
  </si>
  <si>
    <t>Evidencing</t>
  </si>
  <si>
    <t>Debugging</t>
  </si>
  <si>
    <t>Lecture</t>
  </si>
  <si>
    <t>Study</t>
  </si>
  <si>
    <t>Distraction</t>
  </si>
  <si>
    <t>Break</t>
  </si>
  <si>
    <t>Watch the 'Minority Report' movie</t>
  </si>
  <si>
    <t>Fill in the learning log</t>
  </si>
  <si>
    <t>Do research on the roles in a professional data team</t>
  </si>
  <si>
    <t>Research AI in/around 'Minority Report'</t>
  </si>
  <si>
    <t>Researched information for presentation</t>
  </si>
  <si>
    <t>Debated moral &amp; ethical questions around AI</t>
  </si>
  <si>
    <t>Researched AI domains &amp; subdomains</t>
  </si>
  <si>
    <t>Made inforgraphic regarding AI domains &amp; subdomains</t>
  </si>
  <si>
    <t>Worked on presentation</t>
  </si>
  <si>
    <t>10&amp;11-9-2024</t>
  </si>
  <si>
    <t>Did Algebra 1 math quiz</t>
  </si>
  <si>
    <t>Researched chatbots</t>
  </si>
  <si>
    <t>Learn how to analyse data</t>
  </si>
  <si>
    <t>Learn the theory of analysing data</t>
  </si>
  <si>
    <t>Did the Turing test</t>
  </si>
  <si>
    <t>Strategized how to beat the Turing test</t>
  </si>
  <si>
    <t>Did the 2nd Turing test</t>
  </si>
  <si>
    <t>Finished Jupyter notebook 3</t>
  </si>
  <si>
    <t>Finished Jupyter notebook 4</t>
  </si>
  <si>
    <t>https://github.com/BredaUniversityADSAI/2024-25A-FAI1-ADSAI--MaksBurchard240894/blob/783af428b849800147f78fc312a9406b5a83d3d5/Block%20A/9.%20Taxonomy%20of%20AI%20II%20%26%20State-of-the-Art%20AI%202b.png</t>
  </si>
  <si>
    <t>Prepare small presentation</t>
  </si>
  <si>
    <t>Present</t>
  </si>
  <si>
    <t>Watch presentations of other students and give feedback</t>
  </si>
  <si>
    <t>Learn about giving and receiving feedback</t>
  </si>
  <si>
    <t>Do the workshop in 4.2</t>
  </si>
  <si>
    <t>12&amp;13-9-2024</t>
  </si>
  <si>
    <t>Review  the Work and Learning logs</t>
  </si>
  <si>
    <t>Follow the content review session</t>
  </si>
  <si>
    <t>Ask about question 18</t>
  </si>
  <si>
    <t>Thought question 18 was solved it was a different way but turns out no, I just did 10=20 somewhere.</t>
  </si>
  <si>
    <t>Get interrupted and asked if I'm "Ellis"</t>
  </si>
  <si>
    <t>Debate with peers</t>
  </si>
  <si>
    <t>Evidence the WorkLog work</t>
  </si>
  <si>
    <t>https://github.com/BredaUniversityADSAI/2024-25A-FAI1-ADSAI--MaksBurchard240894/blob/ad5854d0c54dc2b5a7182d65a12404889949059b/Study%20Content/Mathematics/Algebra%201%20(Week%202%2C%20Monday).pdf</t>
  </si>
  <si>
    <t>https://github.com/BredaUniversityADSAI/2024-25A-FAI1-ADSAI--MaksBurchard240894/blob/ad5854d0c54dc2b5a7182d65a12404889949059b/Study%20Content/Artificial%20Intelligence/9.%20Taxonomy%20of%20AI%20II%20%26%20State-of-the-Art%20AI.txt</t>
  </si>
  <si>
    <t>https://github.com/BredaUniversityADSAI/2024-25A-FAI1-ADSAI--MaksBurchard240894/blob/ad5854d0c54dc2b5a7182d65a12404889949059b/Study%20Content/Artificial%20Intelligence/5.%20Intelligent%20Agents%20%26%20Conversational%20AI.pdf</t>
  </si>
  <si>
    <t>Preperation for the ILO 3.1 presentation.</t>
  </si>
  <si>
    <t xml:space="preserve">https://github.com/BredaUniversityADSAI/2024-25A-FAI1-ADSAI--MaksBurchard240894/blob/ad5854d0c54dc2b5a7182d65a12404889949059b/Study%20Content/Artificial%20Intelligence/6.%20DataLab%201%20Creative%20Brief%20%26%20Turing%20Test.pdf </t>
  </si>
  <si>
    <t>Is the task for next week Monday but I did it early.</t>
  </si>
  <si>
    <t>Python is going surprisingly easy</t>
  </si>
  <si>
    <t xml:space="preserve">https://github.com/BredaUniversityADSAI/2024-25A-FAI1-ADSAI--MaksBurchard240894/blob/ad5854d0c54dc2b5a7182d65a12404889949059b/Jupyter%20Notebooks/2023-24-Y1-BlockA-Python-main/3.%20Functions.ipynb </t>
  </si>
  <si>
    <t xml:space="preserve">https://github.com/BredaUniversityADSAI/2024-25A-FAI1-ADSAI--MaksBurchard240894/blob/ad5854d0c54dc2b5a7182d65a12404889949059b/Jupyter%20Notebooks/2023-24-Y1-BlockA-Python-main/4.%20Loops.ipynb </t>
  </si>
  <si>
    <t xml:space="preserve">https://github.com/BredaUniversityADSAI/2024-25A-FAI1-ADSAI--MaksBurchard240894/blob/ad5854d0c54dc2b5a7182d65a12404889949059b/Study%20Content/Artificial%20Intelligence/7.%20Taxonomy%20of%20AI%20I.pdf </t>
  </si>
  <si>
    <t>Was more of a slog than above due to motivation dropping.</t>
  </si>
  <si>
    <t>Sudden debate with Nathan and Filip.</t>
  </si>
  <si>
    <t>Nathan and Filip's work logs.</t>
  </si>
  <si>
    <t>Went smoothly. Nothing special.</t>
  </si>
  <si>
    <t>https://github.com/BredaUniversityADSAI/2024-25A-FAI1-ADSAI--MaksBurchard240894/blob/ad5854d0c54dc2b5a7182d65a12404889949059b/Block%20A/Worklog%20Y1A%20ADSAI%202024-2025.xlsx</t>
  </si>
  <si>
    <t>Another sudden debate with Nathan, Filip and Jim.</t>
  </si>
  <si>
    <t>See example of a WorkLog from 2nd-grade student</t>
  </si>
  <si>
    <t>Happened.</t>
  </si>
  <si>
    <t>They were not sufficient.</t>
  </si>
  <si>
    <t>Prepared a strategy for the Turing Test, result is below.</t>
  </si>
  <si>
    <t>I did it in parts with big breaks inbetween (stand-up meeting, Friday Content review Session, workshop, lunchbreak) which was not the most efficient way of working</t>
  </si>
  <si>
    <t>Based on the 1-1 feedback session with the mentor.</t>
  </si>
  <si>
    <t>Fill in the learning log for week 2</t>
  </si>
  <si>
    <t>Research the topic of facial regonition</t>
  </si>
  <si>
    <t>Work on the presentation that has to be given in a week</t>
  </si>
  <si>
    <t xml:space="preserve">https://github.com/BredaUniversityADSAI/2024-25A-FAI1-ADSAI--MaksBurchard240894/tree/6b873c86d8d96e9ac32c8d0d9b388c844c4415e4/Block%20A/ILO%203.1%20Sources/Facial%20Recognition </t>
  </si>
  <si>
    <t>Slightly overtime, possibly due to our group being late</t>
  </si>
  <si>
    <t>Kickoff</t>
  </si>
  <si>
    <t>Fill in Work Log</t>
  </si>
  <si>
    <t>Fill in Learning Log</t>
  </si>
  <si>
    <t>Work on ILO 3.1 presentation</t>
  </si>
  <si>
    <t>Do Algebra 2 Math Exam</t>
  </si>
  <si>
    <t>Work on word document in preperation of presentation</t>
  </si>
  <si>
    <t>Went really quick as I already had an idea of what I wanted to do.</t>
  </si>
  <si>
    <t>16&amp;17-9-2024</t>
  </si>
  <si>
    <t>Follow the "Day in the life of" lecture by Oliver Thuong</t>
  </si>
  <si>
    <t>Do the "a day in the life of a data engineer"</t>
  </si>
  <si>
    <t>Went suprisingly very quick.</t>
  </si>
  <si>
    <t>Fill in work log &amp; evidence</t>
  </si>
  <si>
    <t>https://github.com/BredaUniversityADSAI/2024-25A-FAI1-ADSAI--MaksBurchard240894/blob/0a2d6fbbb994fb55e5e426f5a76723a7f2441b9e/Study%20Content/Artificial%20Intelligence/10.%20DataLab%20I%20Creative%20Brief.pdf</t>
  </si>
  <si>
    <t>https://github.com/BredaUniversityADSAI/2024-25A-FAI1-ADSAI--MaksBurchard240894/blob/0a2d6fbbb994fb55e5e426f5a76723a7f2441b9e/Deliverables/Worklog%20Y1A%20ADSAI%202024-2025.xlsx</t>
  </si>
  <si>
    <t>Datalab I stand-up meeting</t>
  </si>
  <si>
    <t>Datalab II stand-up meeting</t>
  </si>
  <si>
    <t>Write script for presentation</t>
  </si>
  <si>
    <t>https://github.com/BredaUniversityADSAI/2024-25A-FAI1-ADSAI--MaksBurchard240894/blob/0576af4cf749f03d46a7670764dd6460dbedc51b/Block%20A/ILO%203.1%20Presentation%20Script.docx</t>
  </si>
  <si>
    <t>https://github.com/BredaUniversityADSAI/2024-25A-FAI1-ADSAI--MaksBurchard240894/blob/0576af4cf749f03d46a7670764dd6460dbedc51b/Block%20A/Personalized%20Advertisements.pptx</t>
  </si>
  <si>
    <t>I thought this would be longer since I thought I wouldn't have plan but it went quickly.</t>
  </si>
  <si>
    <t>Practice presentation</t>
  </si>
  <si>
    <t>Edit script for presentation (based on feedback and practice)</t>
  </si>
  <si>
    <t>Research US banks</t>
  </si>
  <si>
    <t>Research Breda International Airport</t>
  </si>
  <si>
    <t>https://github.com/BredaUniversityADSAI/2024-25A-FAI1-ADSAI--MaksBurchard240894/blob/1c176cf782450a7e11dc8a158a58796e2858d72c/Study%20Content/Mathematics/Algebra%202%20(Week%203%2C%20Monday).pdf</t>
  </si>
  <si>
    <t>Incorporate feedback from peers given in week 1 in presentation</t>
  </si>
  <si>
    <t>There was not too much that needed improvement.</t>
  </si>
  <si>
    <t>https://github.com/BredaUniversityADSAI/2024-25A-FAI1-ADSAI--MaksBurchard240894/tree/1c176cf782450a7e11dc8a158a58796e2858d72c/Block%20A/FeedbackForMe</t>
  </si>
  <si>
    <t>Finished Jupyter notebook 1</t>
  </si>
  <si>
    <t>Finished Jupyter notebook 2</t>
  </si>
  <si>
    <t>Did the associated tasks with the notebooks</t>
  </si>
  <si>
    <t>https://github.com/BredaUniversityADSAI/2024-25A-FAI1-ADSAI--MaksBurchard240894/blob/1c176cf782450a7e11dc8a158a58796e2858d72c/Jupyter%20Notebooks/2023-24-Y1-BlockA-Python-main/1.%20Variables.ipynb</t>
  </si>
  <si>
    <t>https://github.com/BredaUniversityADSAI/2024-25A-FAI1-ADSAI--MaksBurchard240894/blob/1c176cf782450a7e11dc8a158a58796e2858d72c/Jupyter%20Notebooks/2023-24-Y1-BlockA-Python-main/2.%20Conditional%20execution.ipynb</t>
  </si>
  <si>
    <t>Read Feedback</t>
  </si>
  <si>
    <t>https://github.com/BredaUniversityADSAI/2024-25A-FAI1-ADSAI--MaksBurchard240894/tree/1c176cf782450a7e11dc8a158a58796e2858d72c/Block%20A/Not%20Proof/FeedbackByMe</t>
  </si>
  <si>
    <t>https://github.com/BredaUniversityADSAI/2024-25A-FAI1-ADSAI--MaksBurchard240894/blob/1c176cf782450a7e11dc8a158a58796e2858d72c/Block%20A/Dartmouth%20Workshop.pptx</t>
  </si>
  <si>
    <t>https://github.com/BredaUniversityADSAI/2024-25A-FAI1-ADSAI--MaksBurchard240894/blob/1c176cf782450a7e11dc8a158a58796e2858d72c/Block%20A/Dartmouth%20Workshop%20Presentation%20Text.txt</t>
  </si>
  <si>
    <t>https://github.com/BredaUniversityADSAI/2024-25A-FAI1-ADSAI--MaksBurchard240894/blob/1c176cf782450a7e11dc8a158a58796e2858d72c/Study%20Content/Artificial%20Intelligence/2.%20DataLab%201%20Creative%20Brief.pdf</t>
  </si>
  <si>
    <t>Fill in WorkLog for week 1</t>
  </si>
  <si>
    <t>Learn foundations of AI</t>
  </si>
  <si>
    <t>Learn information literacy</t>
  </si>
  <si>
    <t>https://github.com/BredaUniversityADSAI/2024-25A-FAI1-ADSAI--MaksBurchard240894/blob/1c176cf782450a7e11dc8a158a58796e2858d72c/Study%20Content/Artificial%20Intelligence/1.%20Philosophy%20AI%20%26%20Information%20Literacy.pdf</t>
  </si>
  <si>
    <t>Do standup meeting</t>
  </si>
  <si>
    <t>Research the role of a data scientist</t>
  </si>
  <si>
    <t>https://github.com/BredaUniversityADSAI/2024-25A-FAI1-ADSAI--MaksBurchard240894/tree/main</t>
  </si>
  <si>
    <t>Set up the GitHub page</t>
  </si>
  <si>
    <t>Learned about the history of AI</t>
  </si>
  <si>
    <t>4&amp;5&amp;6-9-2024</t>
  </si>
  <si>
    <t>Follow the Friday Content Review Session</t>
  </si>
  <si>
    <t>Learn introduction to Data Ethics</t>
  </si>
  <si>
    <t>https://github.com/BredaUniversityADSAI/2024-25A-FAI1-ADSAI--MaksBurchard240894/blob/8a67b2098f585c1871e4aa8809119f5341dce29e/Study%20Content/Artificial%20Intelligence/11.%20Risks%20%26%20Benefits%20of%20AI.pdf</t>
  </si>
  <si>
    <t>Planned to work on it for only one day, ended up working multiple days on it.</t>
  </si>
  <si>
    <t>Had issues with 2 questions.</t>
  </si>
  <si>
    <t>Friday Content Freview Session Week 3</t>
  </si>
  <si>
    <t>Do my presentation</t>
  </si>
  <si>
    <t>Follow the other peer's presentations</t>
  </si>
  <si>
    <t>Finish Jupyter notebook 5</t>
  </si>
  <si>
    <t>Finish Jupyter notebook 6</t>
  </si>
  <si>
    <t>Do the codingbat exercises</t>
  </si>
  <si>
    <t>Add refrences to ILO 3.1 presentation</t>
  </si>
  <si>
    <t>17&amp;19&amp;20-9-2024</t>
  </si>
  <si>
    <t>Find and add extra refrences to presentattion</t>
  </si>
  <si>
    <t>Filled in Learning Log</t>
  </si>
  <si>
    <t>https://github.com/BredaUniversityADSAI/2024-25A-FAI1-ADSAI--MaksBurchard240894/blob/35cdcd684d815f05e261508f0ab98b67ae74377c/Deliverables/Task%201%20(Presentation%20on%20AI%20in%20Science%20Fiction)/Personalized%20Advertisements%202.pdf</t>
  </si>
  <si>
    <t>https://github.com/BredaUniversityADSAI/2024-25A-FAI1-ADSAI--MaksBurchard240894/blob/35cdcd684d815f05e261508f0ab98b67ae74377c/Deliverables/Prerequisites/Learning%20Log%20Y1A%20ADSAI%202024-2025.pptx</t>
  </si>
  <si>
    <t>https://github.com/BredaUniversityADSAI/2024-25A-FAI1-ADSAI--MaksBurchard240894/blob/35cdcd684d815f05e261508f0ab98b67ae74377c/Block%20A/ILO%203.1%20Presentation%20Script.docx</t>
  </si>
  <si>
    <t>https://github.com/BredaUniversityADSAI/2024-25A-FAI1-ADSAI--MaksBurchard240894/blob/35cdcd684d815f05e261508f0ab98b67ae74377c/Deliverables/Prerequisites/Worklog%20Y1A%20ADSAI%202024-2025.xlsx</t>
  </si>
  <si>
    <t>Playing chess</t>
  </si>
  <si>
    <t>20&amp;21-9-2024</t>
  </si>
  <si>
    <t>https://github.com/BredaUniversityADSAI/2024-25A-FAI1-ADSAI--MaksBurchard240894/blob/92c1dea6ac32f6000bce3a13319deabec641c40c/Deliverables/Task%201%20(Presentation%20on%20AI%20in%20Science%20Fiction)/AI%20in%20SciFic%20Presentation-Maks-Burchard(240894).mp4</t>
  </si>
  <si>
    <t>Evidence the presentation</t>
  </si>
  <si>
    <t>Fill in WorkLog</t>
  </si>
  <si>
    <t>Watch the Introduction to Data Science kickoff</t>
  </si>
  <si>
    <t>DataLab preparation</t>
  </si>
  <si>
    <t>PowerBI Workshop</t>
  </si>
  <si>
    <t>Fill in Learning Log for Week 3</t>
  </si>
  <si>
    <t>Do "What will you be doing for Data Science?"</t>
  </si>
  <si>
    <t>Prepare for the SDG dialogue</t>
  </si>
  <si>
    <t>Fill in CRISP-DM</t>
  </si>
  <si>
    <t>Evidence in the WorkLog</t>
  </si>
  <si>
    <t>Clean up files in repository</t>
  </si>
  <si>
    <t>I forgot that I did already do it.</t>
  </si>
  <si>
    <t>https://github.com/BredaUniversityADSAI/2024-25A-FAI1-ADSAI--MaksBurchard240894/blob/d2b496e88a4ee3c1850650de1206e7613dbd0d85/Deliverables/Prerequisites/Worklog%20Y1A%20ADSAI%202024-2025.xlsx</t>
  </si>
  <si>
    <t>https://github.com/BredaUniversityADSAI/2024-25A-FAI1-ADSAI--MaksBurchard240894/blob/d2b496e88a4ee3c1850650de1206e7613dbd0d85/Deliverables/Prerequisites/Learning%20Log%20Y1A%20ADSAI%202024-2025.pptx</t>
  </si>
  <si>
    <t>https://github.com/BredaUniversityADSAI/2024-25A-FAI1-ADSAI--MaksBurchard240894/blob/d2b496e88a4ee3c1850650de1206e7613dbd0d85/Block%20A/Introduction%20to%20Data%20Science/certificate.pdf</t>
  </si>
  <si>
    <t>https://github.com/BredaUniversityADSAI/2024-25A-FAI1-ADSAI--MaksBurchard240894/blob/d2b496e88a4ee3c1850650de1206e7613dbd0d85/Study%20Content/Data%20Science/Week%204%20Day%201%20(Monday)/240894_MaksBurchard_Week4DataLab1_1.pdf</t>
  </si>
  <si>
    <t>https://github.com/BredaUniversityADSAI/2024-25A-FAI1-ADSAI--MaksBurchard240894/commit/d2b496e88a4ee3c1850650de1206e7613dbd0d85</t>
  </si>
  <si>
    <t>I have experience working with other Microsoft tools (Word, Excel, Powerpoint, OneNote, Sharepoint) so I had a bit of an instinct as to where things were</t>
  </si>
  <si>
    <t>DataLab preparation review</t>
  </si>
  <si>
    <t>DataLab I stand-up meeting</t>
  </si>
  <si>
    <t>Defining a Problem Statement</t>
  </si>
  <si>
    <t>Formulating Research Question</t>
  </si>
  <si>
    <t>Guest Lecture - Day in Life of</t>
  </si>
  <si>
    <t>SDG Kick-Off Lecture</t>
  </si>
  <si>
    <t>Writing an Introduction</t>
  </si>
  <si>
    <t>End of the day reflection</t>
  </si>
  <si>
    <t>https://github.com/BredaUniversityADSAI/2024-25A-FAI1-ADSAI--MaksBurchard240894/blob/32bb9b5a3ab2cc6fe049adc6233d307d3ae5e7bf/Deliverables/Prerequisites/Worklog%20Y1A%20ADSAI%202024-2025.xlsx</t>
  </si>
  <si>
    <t>Enter feedback into Learning Log</t>
  </si>
  <si>
    <t>https://github.com/BredaUniversityADSAI/2024-25A-FAI1-ADSAI--MaksBurchard240894/blob/7cede706ac94da29bef69c5b2d9a627b11fc84ab/Study%20Content/Data%20Science/Week%204%20Day%202%20(Tuesday)/W4D1%20Feedback.txt</t>
  </si>
  <si>
    <t>https://github.com/BredaUniversityADSAI/2024-25A-FAI1-ADSAI--MaksBurchard240894/blob/7cede706ac94da29bef69c5b2d9a627b11fc84ab/Study%20Content/Data%20Science/Week%204%20Day%202%20(Tuesday)/240894_MaksBurchard_DataLab1_1_1.pbix</t>
  </si>
  <si>
    <t>https://github.com/BredaUniversityADSAI/2024-25A-FAI1-ADSAI--MaksBurchard240894/blob/ba4a7dd5e2410d3ab1e5ab4b7e521cdcbc3e72e1/Study%20Content/Data%20Science/Week%204%20Day%202%20(Tuesday)/DataLab_00_SDG_Indicators%20(3).txt</t>
  </si>
  <si>
    <t>https://github.com/BredaUniversityADSAI/2024-25A-FAI1-ADSAI--MaksBurchard240894/blob/ba4a7dd5e2410d3ab1e5ab4b7e521cdcbc3e72e1/Deliverables/Prerequisites/Learning%20Log%20Y1A%20ADSAI%202024-2025.pptx</t>
  </si>
  <si>
    <t>Get a call from the city of Radom</t>
  </si>
  <si>
    <t>Reflect in the WorkLog</t>
  </si>
  <si>
    <t>I got the hang of this pretty quickly</t>
  </si>
  <si>
    <t>I already had an idea of what to write so it didn't take too long.</t>
  </si>
  <si>
    <t>I did not have a problem with this task so did it quickly.</t>
  </si>
  <si>
    <t>https://github.com/BredaUniversityADSAI/2024-25A-FAI1-ADSAI--MaksBurchard240894/blob/bf73bb460c64d1b1b17461c3b718e9f5dcef6a2c/Deliverables/Prerequisites/Worklog%20Y1A%20ADSAI%202024-2025.xlsx</t>
  </si>
  <si>
    <t>Research the SDG's</t>
  </si>
  <si>
    <t>Do Algebra 3 Math Exam</t>
  </si>
  <si>
    <t>Evidence and fill WorkLog</t>
  </si>
  <si>
    <t>https://github.com/BredaUniversityADSAI/2024-25A-FAI1-ADSAI--MaksBurchard240894/blob/ce2ea21bdeeb7399b1880dba204ac7fe84a4c498/Study%20Content/Data%20Science/Week%204%20Day%202%20(Tuesday)/SDGs.txt</t>
  </si>
  <si>
    <t>https://github.com/BredaUniversityADSAI/2024-25A-FAI1-ADSAI--MaksBurchard240894/tree/ce2ea21bdeeb7399b1880dba204ac7fe84a4c498/Block%20A/Introduction%20to%20Data%20Science/Not%20Proof/SDG%20Info</t>
  </si>
  <si>
    <t>https://github.com/BredaUniversityADSAI/2024-25A-FAI1-ADSAI--MaksBurchard240894/blob/724951fe653dc3304798c871afa5990d2938175c/Deliverables/Prerequisites/Worklog%20Y1A%20ADSAI%202024-2025.xlsx</t>
  </si>
  <si>
    <t>Search for datasets belonging to the research question</t>
  </si>
  <si>
    <t>https://github.com/BredaUniversityADSAI/2024-25A-FAI1-ADSAI--MaksBurchard240894/tree/c9ac246f0afaff21a70a2e3e201bfdd963252bcc/Block%20A/Introduction%20to%20Data%20Science/SDG%20Data</t>
  </si>
  <si>
    <t>Learn introduction to variables</t>
  </si>
  <si>
    <t>Do the DataLab preparation</t>
  </si>
  <si>
    <t>Learn Data Manipulation (Basic Excel features)</t>
  </si>
  <si>
    <t>Learn Data Manipulation (Avanced Excel features)</t>
  </si>
  <si>
    <t>24&amp;26-9-2024</t>
  </si>
  <si>
    <t>Follow the Data Transformation Tutorial</t>
  </si>
  <si>
    <t>Add the Dashboard to the Learning Log</t>
  </si>
  <si>
    <t>Finish Jupyter notebook 7</t>
  </si>
  <si>
    <t>Finish Jupyter notebook 8</t>
  </si>
  <si>
    <t>Do the Codingbat &amp; Hackerrank exercises</t>
  </si>
  <si>
    <t>Reflect on my mistakes in the Math Quiz</t>
  </si>
  <si>
    <t>Evidence the WorkLog</t>
  </si>
  <si>
    <t>Work on the LearningLog</t>
  </si>
  <si>
    <t>Check ahead on what we need to do on Friday</t>
  </si>
  <si>
    <t>Reflect on tasks in WorkLog</t>
  </si>
  <si>
    <t>I have experience with Python so I believe that is why I finished the notebooks so quickly.</t>
  </si>
  <si>
    <t>See above</t>
  </si>
  <si>
    <t>The session was a bit longer then planned.</t>
  </si>
  <si>
    <t>Had a few points I could improve on.</t>
  </si>
  <si>
    <t>Should incorporate this into the ILO 3.1 presentation.</t>
  </si>
  <si>
    <t>Time difference may have been due to me speeding a bit through the information due to it being late in the day.</t>
  </si>
  <si>
    <t>For the bronze medal challenge.</t>
  </si>
  <si>
    <t>Took a bit longer due to (in my opinion) confusing instructions.</t>
  </si>
  <si>
    <t>Did it in two parts, which may have contributed to the higher time.</t>
  </si>
  <si>
    <t>I have experience with excel so this wasn't too bad.</t>
  </si>
  <si>
    <t>The instruction were confusing to me but I still managed to keep it in time.</t>
  </si>
  <si>
    <t>Watch the Data Sources Video</t>
  </si>
  <si>
    <t>I have no idea why I was done so fast, I feel like I'm missing something.</t>
  </si>
  <si>
    <t>Wasn't much.</t>
  </si>
  <si>
    <t>https://github.com/BredaUniversityADSAI/2024-25A-FAI1-ADSAI--MaksBurchard240894/blob/ad049761820c795bcd83f412384c9fff18011512/Deliverables/Prerequisites/Worklog%20Y1A%20ADSAI%202024-2025.xlsx</t>
  </si>
  <si>
    <t>https://github.com/BredaUniversityADSAI/2024-25A-FAI1-ADSAI--MaksBurchard240894/blob/ad049761820c795bcd83f412384c9fff18011512/Study%20Content/Mathematics/Algebra%203%20(Week%204%2C%20Monday).txt</t>
  </si>
  <si>
    <t>https://github.com/BredaUniversityADSAI/2024-25A-FAI1-ADSAI--MaksBurchard240894/blob/ad049761820c795bcd83f412384c9fff18011512/Study%20Content/Mathematics/Algebra%203%20(Week%204%2C%20Monday).pdf</t>
  </si>
  <si>
    <t>https://github.com/BredaUniversityADSAI/2024-25A-FAI1-ADSAI--MaksBurchard240894/blob/ad049761820c795bcd83f412384c9fff18011512/Study%20Content/Data%20Science/Week%204%20Day%203%20(Wednesday)/Advanced%20Excel%20Functions.xlsx</t>
  </si>
  <si>
    <t>https://github.com/BredaUniversityADSAI/2024-25A-FAI1-ADSAI--MaksBurchard240894/blob/ad049761820c795bcd83f412384c9fff18011512/Study%20Content/Data%20Science/Week%204%20Day%203%20(Wednesday)/Basic%20Excel%20Functions.xlsx</t>
  </si>
  <si>
    <t>https://github.com/BredaUniversityADSAI/2024-25A-FAI1-ADSAI--MaksBurchard240894/blob/ad049761820c795bcd83f412384c9fff18011512/Study%20Content/Data%20Science/Week%204%20Day%203%20(Wednesday)/PowerBI%20Data%20Tutorial.pbix</t>
  </si>
  <si>
    <t>https://github.com/BredaUniversityADSAI/2024-25A-FAI1-ADSAI--MaksBurchard240894/blob/ad049761820c795bcd83f412384c9fff18011512/Study%20Content/Data%20Science/Week%204%20Day%203%20(Wednesday)/VariablesDatalabPreparation.pbix</t>
  </si>
  <si>
    <t>https://github.com/BredaUniversityADSAI/2024-25A-FAI1-ADSAI--MaksBurchard240894/blob/ad049761820c795bcd83f412384c9fff18011512/Deliverables/Prerequisites/Learning%20Log%20Y1A%20ADSAI%202024-2025.pptx</t>
  </si>
  <si>
    <t>https://github.com/BredaUniversityADSAI/2024-25A-FAI1-ADSAI--MaksBurchard240894/blob/f095d77286ddaa81169709ebf7fd1239203c1b9f/Deliverables/Prerequisites/Worklog%20Y1A%20ADSAI%202024-2025.xlsx</t>
  </si>
  <si>
    <t>Friday Content Freview Session Week 4</t>
  </si>
  <si>
    <t>Datacamp Course on EDA</t>
  </si>
  <si>
    <t>Hands-on Application</t>
  </si>
  <si>
    <t>1-on-1 mentor meeting</t>
  </si>
  <si>
    <t>Fill in Learning Log for Week 4</t>
  </si>
  <si>
    <t>DataLab II stand-up meeting</t>
  </si>
  <si>
    <t>Evidence tests (Math) with screenshots</t>
  </si>
  <si>
    <t>Fill in DataLab preparation review feedback in Learning Log</t>
  </si>
  <si>
    <t>Fill in mentor meeting feedback in Learning Log</t>
  </si>
  <si>
    <t>Evidence the course in WorkLog and Learning Log</t>
  </si>
  <si>
    <t>https://github.com/BredaUniversityADSAI/2024-25A-FAI1-ADSAI--MaksBurchard240894/blob/a9e3e4dc9bf47b57a0a7f3ec6b55555a6349f814/Deliverables/Prerequisites/Worklog%20Y1A%20ADSAI%202024-2025.xlsx</t>
  </si>
  <si>
    <t>https://github.com/BredaUniversityADSAI/2024-25A-FAI1-ADSAI--MaksBurchard240894/blob/a9e3e4dc9bf47b57a0a7f3ec6b55555a6349f814/Study%20Content/Data%20Science/Week%204%20Day%205%20(Friday)/Data%20Preparation%20in%20Power%20Bi.pdf</t>
  </si>
  <si>
    <t>https://github.com/BredaUniversityADSAI/2024-25A-FAI1-ADSAI--MaksBurchard240894/blob/a9e3e4dc9bf47b57a0a7f3ec6b55555a6349f814/Deliverables/Prerequisites/Learning%20Log%20Y1A%20ADSAI%202024-2025.pptx</t>
  </si>
  <si>
    <t>https://github.com/BredaUniversityADSAI/2024-25A-FAI1-ADSAI--MaksBurchard240894/blob/a9e3e4dc9bf47b57a0a7f3ec6b55555a6349f814/Study%20Content/Data%20Science/Week%204%20Day%203%20(Wednesday)/VariablesDatalabPreparation.pbix</t>
  </si>
  <si>
    <t>Fill in Work Log for Monday</t>
  </si>
  <si>
    <t>Fill in Learning Log plans for Week 5</t>
  </si>
  <si>
    <t>Do the introduction to descriptive statistics</t>
  </si>
  <si>
    <t>Hands-on DataCamp course</t>
  </si>
  <si>
    <t>Introduction to visualisations</t>
  </si>
  <si>
    <t>Go over earlier weeks in Learning Log and apply the feedback</t>
  </si>
  <si>
    <t>See abovea</t>
  </si>
  <si>
    <t>30-9 &amp; 01/10-2024</t>
  </si>
  <si>
    <t>Q&amp;A Standup Meeting</t>
  </si>
  <si>
    <t>EDA on chosen SDG data</t>
  </si>
  <si>
    <t>End of day reflection</t>
  </si>
  <si>
    <t>Guest Lecture</t>
  </si>
  <si>
    <t>Do math quiz 5</t>
  </si>
  <si>
    <t>Hands-on application (DataCamp course 2)</t>
  </si>
  <si>
    <t>Add review feedback in Learning Log</t>
  </si>
  <si>
    <t>The DataCamp course crashed while I was doing this, so I finished it on the next day.</t>
  </si>
  <si>
    <t>Had a couple problems with the PowerBi not working.</t>
  </si>
  <si>
    <t>Could not finish before DataLab due to above issue.</t>
  </si>
  <si>
    <t>Learn general data reporting</t>
  </si>
  <si>
    <t>Data reporting in Power BI</t>
  </si>
  <si>
    <t>Advanced data visualizations</t>
  </si>
  <si>
    <t>DataLab Preparation</t>
  </si>
  <si>
    <t>1&amp;2-10-2024</t>
  </si>
  <si>
    <t>2&amp;3-10-2024</t>
  </si>
  <si>
    <t>I had a bit of trouble with regards to beginning the Lab section of the course, but managed to pull through in the end.</t>
  </si>
  <si>
    <t>Finish Jupyter notebook 9</t>
  </si>
  <si>
    <t>Finish Jupyter notebook 10</t>
  </si>
  <si>
    <t>Evidence everything in the WorkLog</t>
  </si>
  <si>
    <t>Use mentor feedback to improve reflections in WorkLog</t>
  </si>
  <si>
    <t>Plan day in WorkLog</t>
  </si>
  <si>
    <t>Friday Content Review Session</t>
  </si>
  <si>
    <t>Research questions &amp; subquestions</t>
  </si>
  <si>
    <t>Do visualizations in PowerBI</t>
  </si>
  <si>
    <t>Weekend</t>
  </si>
  <si>
    <t>Fill in Learning Log for week 5</t>
  </si>
  <si>
    <t>Find potential sources for my dashboard</t>
  </si>
  <si>
    <t>Figure out why pdfs aren't showing up on pc GitHub</t>
  </si>
  <si>
    <t>Check if everything is correct in GitHub</t>
  </si>
  <si>
    <t>Write down observations based off of visualizations</t>
  </si>
  <si>
    <t>Check out an example dashboard</t>
  </si>
  <si>
    <t>Fill in Learning Log goals for Week 6</t>
  </si>
  <si>
    <t>Math Quiz 5</t>
  </si>
  <si>
    <t>Foundational Concepts of Variability</t>
  </si>
  <si>
    <t>Introduction to Guided Case Study</t>
  </si>
  <si>
    <t>I decided to add sources to Zoterro which took up some unexpected time.</t>
  </si>
  <si>
    <t>There were technical difficulties while watching the movie.</t>
  </si>
  <si>
    <t>I overestimated the time I needed to make a presentation</t>
  </si>
  <si>
    <t>Recap of the basics of middle school, so I easily knew what I needed to do. All mistakes were due to "grammar" mistakes instead of not understanding math.</t>
  </si>
  <si>
    <t>The Turing test was a bit shorter due to the human responder not needing a ton of time to think.</t>
  </si>
  <si>
    <t>Unplanned game where all guessers were now responders.</t>
  </si>
  <si>
    <t>Is the task for next week Monday but I did it early, took some time due to my program having technical difficulties.</t>
  </si>
  <si>
    <t>I saw a real example of how this document should look like. This was an unplanned activity.</t>
  </si>
  <si>
    <t>The amount of time planned for this by the brightspace documents was too much.</t>
  </si>
  <si>
    <t>Unexpectidly played a game of chess against Filip.</t>
  </si>
  <si>
    <t>I think the Python exerecises are going easy because I already have experience with them.</t>
  </si>
  <si>
    <t>aI think the Python exerecises are going easy because I already have experience with them.</t>
  </si>
  <si>
    <t>Thought it said I needed to do this but turns out not yet.</t>
  </si>
  <si>
    <t>Took a bit longer than planned.</t>
  </si>
  <si>
    <t>Fill in Work Log for Tuesday</t>
  </si>
  <si>
    <t>Stand up meeting</t>
  </si>
  <si>
    <t>Presentation Skills Preparation</t>
  </si>
  <si>
    <t>Storytelling Workshop</t>
  </si>
  <si>
    <t>Add DataLab preparation review feedback to Learning Log</t>
  </si>
  <si>
    <t>Figure out how an inflection point works with the 2nd derivative</t>
  </si>
  <si>
    <t>Write draft description of Dashboard</t>
  </si>
  <si>
    <t>Add column queries changes to Crisp-DM</t>
  </si>
  <si>
    <t>Extra half an hour probably came from the Storytelling Workshop being an hour shorter.</t>
  </si>
  <si>
    <t>Was asked to help figure out why the solution to question 16 of the week 5 math quiz was as it was.</t>
  </si>
  <si>
    <t>Fill in Work Log reflection</t>
  </si>
  <si>
    <t>We discussed the (draft) dashboards in quite some detailes, probably more than was required.</t>
  </si>
  <si>
    <t>7&amp;8-10-2024</t>
  </si>
  <si>
    <t>Understood and knew this from my high school days.</t>
  </si>
  <si>
    <t>Finished the DataCamp course quick.</t>
  </si>
  <si>
    <t>Data Modeling in Datacamp</t>
  </si>
  <si>
    <t>DataLab preparation: Correlation</t>
  </si>
  <si>
    <t>Math Exam</t>
  </si>
  <si>
    <t>Recommendations for Future Analyses</t>
  </si>
  <si>
    <t>In-Class discussion</t>
  </si>
  <si>
    <t>Fill in Work Log for Friday</t>
  </si>
  <si>
    <t>Study a bit of math for exam</t>
  </si>
  <si>
    <t>Math Exam Review</t>
  </si>
  <si>
    <t>Search up sources for Bronze Medal Challange</t>
  </si>
  <si>
    <t>Did not happen</t>
  </si>
  <si>
    <t>Fill in Work Log (Monday)</t>
  </si>
  <si>
    <t>Fill in Learning Log plans (Week 7)</t>
  </si>
  <si>
    <t>Read the "Differences between Descriptive, Predictive and Explanatory Analyses" paper</t>
  </si>
  <si>
    <t>Do the Introduction to Big Data LinkedIn course</t>
  </si>
  <si>
    <t>Watch the videos on good &amp; bad predictions</t>
  </si>
  <si>
    <t>Do the Reporting best practices DataCamp course</t>
  </si>
  <si>
    <t>Evidence and reflect in the Work Log (Monday)</t>
  </si>
  <si>
    <t>I added more things than I planned to add</t>
  </si>
  <si>
    <t>https://github.com/BredaUniversityADSAI/2024-25A-FAI1-ADSAI--MaksBurchard240894/blob/67a89d45d222139e2f0cd51b855a89650717579a/Deliverables/Prerequisites/Learning%20Log%20Y1A%20ADSAI%202024-2025.pptx</t>
  </si>
  <si>
    <t>I originally had this planned on Thursday but plans got in the way of that, so I did it on Saturday.</t>
  </si>
  <si>
    <t>https://github.com/BredaUniversityADSAI/2024-25A-FAI1-ADSAI--MaksBurchard240894/blob/6594f2f6e6e3fa8d4fa7bbaaa878edf82a7e4891/Study%20Content/Mathematics/Algebra%203%20(Week%204%2C%20Monday).png</t>
  </si>
  <si>
    <t>https://github.com/BredaUniversityADSAI/2024-25A-FAI1-ADSAI--MaksBurchard240894/blob/0e8196f7f7e1375f6186a665aa0a8f0317c8e346/Deliverables/Prerequisites/Worklog%20Y1A%20ADSAI%202024-2025.xlsx</t>
  </si>
  <si>
    <t xml:space="preserve">https://github.com/BredaUniversityADSAI/2024-25A-FAI1-ADSAI--MaksBurchard240894/blob/0e8196f7f7e1375f6186a665aa0a8f0317c8e346/Study%20Content/Data%20Science/Week%205%20Day%201%20(Monday)/DataCamp%20course%20-%20Exploratory%20Data%20Analysis%20in%20Power%20BI.pdf </t>
  </si>
  <si>
    <t>https://github.com/BredaUniversityADSAI/2024-25A-FAI1-ADSAI--MaksBurchard240894/blob/0e8196f7f7e1375f6186a665aa0a8f0317c8e346/Study%20Content/Data%20Science/Week%205%20Day%201%20(Monday)/DataCamp%20course%20-%20Data%20Visualization%20in%20Power%20BI.pdf</t>
  </si>
  <si>
    <t xml:space="preserve">https://github.com/BredaUniversityADSAI/2024-25A-FAI1-ADSAI--MaksBurchard240894/blob/0e8196f7f7e1375f6186a665aa0a8f0317c8e346/Block%20A/Introduction%20to%20Data%20Science/Power%20BI%20Progression/SDG_Dashboard_4%20(Testing%20Time).pbix </t>
  </si>
  <si>
    <t>https://github.com/BredaUniversityADSAI/2024-25A-FAI1-ADSAI--MaksBurchard240894/blob/0e8196f7f7e1375f6186a665aa0a8f0317c8e346/Deliverables/Prerequisites/Learning%20Log%20Y1A%20ADSAI%202024-2025.pptx</t>
  </si>
  <si>
    <t xml:space="preserve">https://github.com/BredaUniversityADSAI/2024-25A-FAI1-ADSAI--MaksBurchard240894/blob/0e8196f7f7e1375f6186a665aa0a8f0317c8e346/Study%20Content/Data%20Science/Week%205%20Day%203%20(Wednesday)/Voltooiingscertificaat_Learning%20Data%20Science%20Tell%20Stories%20With%20Data.pdf </t>
  </si>
  <si>
    <t xml:space="preserve">https://github.com/BredaUniversityADSAI/2024-25A-FAI1-ADSAI--MaksBurchard240894/blob/0e8196f7f7e1375f6186a665aa0a8f0317c8e346/Study%20Content/Data%20Science/Week%205%20Day%203%20(Wednesday)/Achievements%20-%20burchardmaks-9928%20_%20Microsoft%20Learn.pdf </t>
  </si>
  <si>
    <t>I wanted to do the Microsoft Course as well but didn't have time to do it.</t>
  </si>
  <si>
    <t>https://github.com/BredaUniversityADSAI/2024-25A-FAI1-ADSAI--MaksBurchard240894/blob/0e8196f7f7e1375f6186a665aa0a8f0317c8e346/Block%20A/Introduction%20to%20Data%20Science/Power%20BI%20Progression/SDG_Dashboard_5%20(W5%20Friday%20I).pbix</t>
  </si>
  <si>
    <t>I messed up here and accidentally forgot to save the preparation document.</t>
  </si>
  <si>
    <t>https://github.com/BredaUniversityADSAI/2024-25A-FAI1-ADSAI--MaksBurchard240894/blob/0e8196f7f7e1375f6186a665aa0a8f0317c8e346/Study%20Content/Data%20Science/Week%205%20Day%205%20(Friday)/Questions%20%26%20Subquestions.txt</t>
  </si>
  <si>
    <t>https://github.com/BredaUniversityADSAI/2024-25A-FAI1-ADSAI--MaksBurchard240894/blob/0e8196f7f7e1375f6186a665aa0a8f0317c8e346/Study%20Content/Data%20Science/Week%204%20Day%205%20(Friday)/CRISP_DM_Maks_Burchard.docx</t>
  </si>
  <si>
    <t>https://github.com/BredaUniversityADSAI/2024-25A-FAI1-ADSAI--MaksBurchard240894/blob/0e8196f7f7e1375f6186a665aa0a8f0317c8e346/Block%20A/Introduction%20to%20Data%20Science/Power%20BI%20Progression/SDG_Dashboard_5%20(W5%20Friday%20III%20(Findings%20II)).pbix</t>
  </si>
  <si>
    <t>https://github.com/BredaUniversityADSAI/2024-25A-FAI1-ADSAI--MaksBurchard240894/blob/0e8196f7f7e1375f6186a665aa0a8f0317c8e346/Study%20Content/Data%20Science/Week%205%20Day%205%20(Friday)/Observations.txt</t>
  </si>
  <si>
    <t>https://github.com/BredaUniversityADSAI/2024-25A-FAI1-ADSAI--MaksBurchard240894/blob/a377017cefe7c33797cd29556a6170f1f7e91649/Study%20Content/Data%20Science/Week%206%20Day%201%20(Monday)/certificate.pdf</t>
  </si>
  <si>
    <t>https://github.com/BredaUniversityADSAI/2024-25A-FAI1-ADSAI--MaksBurchard240894/blob/a377017cefe7c33797cd29556a6170f1f7e91649/Study%20Content/Data%20Science/Week%206%20Day%202%20(Tuesday)/Variability.txt</t>
  </si>
  <si>
    <t>Did not finish on Monday, finished on Tuesday.</t>
  </si>
  <si>
    <t>https://github.com/BredaUniversityADSAI/2024-25A-FAI1-ADSAI--MaksBurchard240894/blob/28077d31e55b3d90e3f96977192ac1ed64eca36d/Study%20Content/Data%20Science/Week%206%20Day%202%20(Tuesday)/Dashboard%20Description.txt</t>
  </si>
  <si>
    <t>https://github.com/BredaUniversityADSAI/2024-25A-FAI1-ADSAI--MaksBurchard240894/blob/28077d31e55b3d90e3f96977192ac1ed64eca36d/Study%20Content/Data%20Science/Week%206%20Day%202%20(Tuesday)/Thinking%2C_Fast_and_Slow.pdf</t>
  </si>
  <si>
    <t>Presenter finished pretty quickly. Evidence is the downloaded Wikpedia page of a book the presenter discussed.</t>
  </si>
  <si>
    <t>https://github.com/BredaUniversityADSAI/2024-25A-FAI1-ADSAI--MaksBurchard240894/blob/28077d31e55b3d90e3f96977192ac1ed64eca36d/Study%20Content/Data%20Science/Week%204%20Day%205%20(Friday)/CRISP_DM_Maks_Burchard.docx</t>
  </si>
  <si>
    <t>https://github.com/BredaUniversityADSAI/2024-25A-FAI1-ADSAI--MaksBurchard240894/blob/41d63ef91a0763ad5105af8caef7f2616f5844bb/Study%20Content/Data%20Science/Week%206%20Day%203%20(Wednesday)/Data%20Modeling%20in%20Power%20Bi%20Certificate.pdf</t>
  </si>
  <si>
    <t>https://github.com/BredaUniversityADSAI/2024-25A-FAI1-ADSAI--MaksBurchard240894/blob/a653fcda13ee8024a0e56067acbffbc5f93df637/Study%20Content/Data%20Science/Week%206%20Day%203%20(Wednesday)/CorrelationDatalabPreparation.pbix</t>
  </si>
  <si>
    <t>https://github.com/BredaUniversityADSAI/2024-25A-FAI1-ADSAI--MaksBurchard240894/blob/a653fcda13ee8024a0e56067acbffbc5f93df637/Study%20Content/Data%20Science/Week%206%20Day%205%20(Friday)/Recommendations%20for%20Future%20Analyses%20%26%20Data-driven%20Decisions.txt</t>
  </si>
  <si>
    <t>https://github.com/BredaUniversityADSAI/2024-25A-FAI1-ADSAI--MaksBurchard240894/tree/a653fcda13ee8024a0e56067acbffbc5f93df637/Study%20Content/Mathematics/Documents</t>
  </si>
  <si>
    <t>https://github.com/BredaUniversityADSAI/2024-25A-FAI1-ADSAI--MaksBurchard240894/tree/a653fcda13ee8024a0e56067acbffbc5f93df637/Block%20A/Medal%20Challenges/Bronze/Sources</t>
  </si>
  <si>
    <t>Make preparations for Bronze Medal Challange</t>
  </si>
  <si>
    <t>https://github.com/BredaUniversityADSAI/2024-25A-FAI1-ADSAI--MaksBurchard240894/blob/a653fcda13ee8024a0e56067acbffbc5f93df637/Block%20A/Medal%20Challenges/Bronze/DS%20Team%20Roles.txt</t>
  </si>
  <si>
    <t>https://github.com/BredaUniversityADSAI/2024-25A-FAI1-ADSAI--MaksBurchard240894/blob/a653fcda13ee8024a0e56067acbffbc5f93df637/Study%20Content/Data%20Science/Week%206%20Day%205%20(Friday)/Considerations.txt</t>
  </si>
  <si>
    <t>I was finished pretty quickly with this.</t>
  </si>
  <si>
    <t>Evidence and fill in the Learning Log</t>
  </si>
  <si>
    <t>14&amp;24-10-2024</t>
  </si>
  <si>
    <t>Write a conclusion (Tuesday)</t>
  </si>
  <si>
    <t>DataCamp Course: User-Oriented Design in Power BI (Wednesday)</t>
  </si>
  <si>
    <t>Dashboard UX improvements (Wednesday)</t>
  </si>
  <si>
    <t>During this work was when I suddenly became sick so I was not able to finish this and everything below in the week I was supposed to do it. I also decided to do the entire course instead of just watching the 1 video. 1hr 10 mins so far</t>
  </si>
  <si>
    <t>Had a couple problems with the virtual machine in the DataCamp Course, so the course took a bit longer.</t>
  </si>
  <si>
    <t>I had already cited sources in my Crisp-DM document and put them in Zotero, but not in the APA style. So all I had to do was to quickly change them to the correct style.</t>
  </si>
  <si>
    <t>https://github.com/BredaUniversityADSAI/2024-25A-FAI1-ADSAI--MaksBurchard240894/blob/9b2f2eb9beebbdd1eee69c22ba58e1e5d4ef679a/Deliverables/Prerequisites/Worklog%20Y1A%20ADSAI%202024-2025.xlsx</t>
  </si>
  <si>
    <t>https://github.com/BredaUniversityADSAI/2024-25A-FAI1-ADSAI--MaksBurchard240894/blob/9b2f2eb9beebbdd1eee69c22ba58e1e5d4ef679a/Deliverables/Prerequisites/Learning%20Log%20Y1A%20ADSAI%202024-2025.pptx</t>
  </si>
  <si>
    <t>https://github.com/BredaUniversityADSAI/2024-25A-FAI1-ADSAI--MaksBurchard240894/blob/9b2f2eb9beebbdd1eee69c22ba58e1e5d4ef679a/Study%20Content/Data%20Science/Week%207%20Day%201%20(Monday)/To%20Explain%20or%20to%20Predict%20-%20Galit%20Shmueli.pdf</t>
  </si>
  <si>
    <t>https://github.com/BredaUniversityADSAI/2024-25A-FAI1-ADSAI--MaksBurchard240894/blob/9b2f2eb9beebbdd1eee69c22ba58e1e5d4ef679a/Study%20Content/Data%20Science/Week%207%20Day%201%20(Monday)/Voltooiingscertificaat_Data%20Science%20Foundations%20Fundamentals%202019%20LinkedIn.pdf</t>
  </si>
  <si>
    <t>https://github.com/BredaUniversityADSAI/2024-25A-FAI1-ADSAI--MaksBurchard240894/blob/9b2f2eb9beebbdd1eee69c22ba58e1e5d4ef679a/Study%20Content/Data%20Science/Week%207%20Day%201%20(Monday)/DataCamp%20Report%20Design%20in%20Power%20BI.pdf</t>
  </si>
  <si>
    <t>https://github.com/BredaUniversityADSAI/2024-25A-FAI1-ADSAI--MaksBurchard240894/blob/9b2f2eb9beebbdd1eee69c22ba58e1e5d4ef679a/Deliverables/Task%202-7%20(Dashboard)/CRISP_DM_Maks_Burchard.docx</t>
  </si>
  <si>
    <t>https://github.com/BredaUniversityADSAI/2024-25A-FAI1-ADSAI--MaksBurchard240894/blob/a5d9eb9d7577e8315a2835cc99fd7ef3a17bb7cf/Deliverables/Prerequisites/Worklog%20Y1A%20ADSAI%202024-2025.xlsx</t>
  </si>
  <si>
    <t>Iterating using CRISP-DM (Friday)</t>
  </si>
  <si>
    <t>CCC Hackathon (Week 9 &amp; 10 challenges)</t>
  </si>
  <si>
    <t>24&amp;25-10-2024</t>
  </si>
  <si>
    <t>Evidence and reflect in the Work Log for week 7</t>
  </si>
  <si>
    <t>Fill in Learning Log for week 7</t>
  </si>
  <si>
    <t>https://github.com/BredaUniversityADSAI/2024-25A-FAI1-ADSAI--MaksBurchard240894/blob/5b3620eaad19f32575e3ec4df081e0a077489587/Study%20Content/Data%20Science/Week%207%20Day%201%20(Monday)/Conclusion%20(Tuesday).txt</t>
  </si>
  <si>
    <t>I had troubles with PowerBI not wanting to calculate things correctly (Pearson Coefficient)</t>
  </si>
  <si>
    <t>https://github.com/BredaUniversityADSAI/2024-25A-FAI1-ADSAI--MaksBurchard240894/tree/de9e979c13c794ccceb296486ad3026f65d7b2fb/Deliverables/Week%209%20%26%2010%20Challenges/Hackathon</t>
  </si>
  <si>
    <t>25&amp;26-10-2024</t>
  </si>
  <si>
    <t>There was one exercise where the exercise folder wasn't matching up with what the exercise was telling me, which was confusing.</t>
  </si>
  <si>
    <t>https://github.com/BredaUniversityADSAI/2024-25A-FAI1-ADSAI--MaksBurchard240894/blob/a58d9c678541d8b6146c81875b2150790e270970/Study%20Content/Data%20Science/Week%207%20Day%201%20(Monday)/DataCamp%20User-Oriented%20Deisgn%20in%20Power%20BI.pdf</t>
  </si>
  <si>
    <t>Created Zooniverse acount</t>
  </si>
  <si>
    <t>Classify images in Zooniverse</t>
  </si>
  <si>
    <t>26&amp;27-10-2024</t>
  </si>
  <si>
    <t>Followed the entire course.</t>
  </si>
  <si>
    <t>https://github.com/BredaUniversityADSAI/2024-25A-FAI1-ADSAI--MaksBurchard240894/blob/ff8edd5dee67f1dbf7a8c568572d7ee635093f2c/Study%20Content/Data%20Science/Week%207%20Day%201%20(Monday)/Voltooiingscertificaat_Data%20Science%20for%20Java%20Developers.pdf</t>
  </si>
  <si>
    <t>https://github.com/BredaUniversityADSAI/2024-25A-FAI1-ADSAI--MaksBurchard240894/blob/ff8edd5dee67f1dbf7a8c568572d7ee635093f2c/Block%20A/Week%209%20%26%2010%20Challenges/Zooniverse/E-mail%20-%20Burchard%2C%20Maks%20(240894)%20-%20Outlook.pdf</t>
  </si>
  <si>
    <t>https://github.com/BredaUniversityADSAI/2024-25A-FAI1-ADSAI--MaksBurchard240894/blob/c8fc2141a244e039dad27e2dd568d49e7d1f067e/Study%20Content/Data%20Science/Week%207%20Day%201%20(Monday)/Certificate%20_%20Zooniverse_Maks_Burchard.pdf</t>
  </si>
  <si>
    <t>Fill in WorkLog for week 8</t>
  </si>
  <si>
    <t>Fill in Learning Log plans for week 8</t>
  </si>
  <si>
    <t>Do Datacamp Data Analyst Career Track Course</t>
  </si>
  <si>
    <t>Do Intermediate Data Modeling in Power BI</t>
  </si>
  <si>
    <t>Advanced Power BI</t>
  </si>
  <si>
    <t>Work on Dashboard</t>
  </si>
  <si>
    <t>Do the "Design a semantic model in Power BI" Course</t>
  </si>
  <si>
    <t>Do the "Optimize a model for performance in Power BI" Course</t>
  </si>
  <si>
    <t>Do the "Describe Power BI Desktop models" Course</t>
  </si>
  <si>
    <t>Do the "Choose a Power BI model framework" Course</t>
  </si>
  <si>
    <t>Do the "Understand scalability in Power BI" Course</t>
  </si>
  <si>
    <t>Do the "Write DAX formulas for Power BI Desktop models" Course</t>
  </si>
  <si>
    <t>Had a couple problems with the virtual machine in the course not working. Everntually fixed the problems, but it took some time.</t>
  </si>
  <si>
    <t>Do the "Create and manage scalable Power BI dataflows" Course</t>
  </si>
  <si>
    <t>Do the "Add measures to Power BI Desktop models" Course</t>
  </si>
  <si>
    <t>Do the "Add calculated tables and columns to Power BI Desktop models" Course</t>
  </si>
  <si>
    <t>Do the Case Study "Analyzing Job Market Data in Power BI" on DataCamp</t>
  </si>
  <si>
    <t>Write up ideas on what I need to do on Dashboard</t>
  </si>
  <si>
    <t>Evidence and Reflect on Monday in the Work Log</t>
  </si>
  <si>
    <t>https://github.com/BredaUniversityADSAI/2024-25A-FAI1-ADSAI--MaksBurchard240894/blob/2ae3f576392d9706e6ea6e2210835965cbc6e04f/Deliverables/Prerequisites/Learning%20Log%20Y1A%20ADSAI%202024-2025.pptx</t>
  </si>
  <si>
    <t>https://github.com/BredaUniversityADSAI/2024-25A-FAI1-ADSAI--MaksBurchard240894/blob/2ae3f576392d9706e6ea6e2210835965cbc6e04f/Deliverables/Prerequisites/Worklog%20Y1A%20ADSAI%202024-2025.xlsx</t>
  </si>
  <si>
    <t>https://github.com/BredaUniversityADSAI/2024-25A-FAI1-ADSAI--MaksBurchard240894/blob/2ae3f576392d9706e6ea6e2210835965cbc6e04f/Study%20Content/Data%20Science/Week%208%20Day%201%20(Monday)/Certificate%20-%20Intermediate%20Data%20Modeling%20in%20Power%20BI.pdf</t>
  </si>
  <si>
    <t>https://github.com/BredaUniversityADSAI/2024-25A-FAI1-ADSAI--MaksBurchard240894/blob/2ae3f576392d9706e6ea6e2210835965cbc6e04f/Study%20Content/Data%20Science/Week%208%20Day%201%20(Monday)/Microsoft%20Learn%20-%20Design%20a%20semantic%20model%20in%20Power%20BI.pdf</t>
  </si>
  <si>
    <t>https://github.com/BredaUniversityADSAI/2024-25A-FAI1-ADSAI--MaksBurchard240894/blob/2ae3f576392d9706e6ea6e2210835965cbc6e04f/Study%20Content/Data%20Science/Week%208%20Day%201%20(Monday)/Microsoft%20Learn%20-%20Optimize%20a%20model%20for%20performance%20in%20Power%20BI.pdf</t>
  </si>
  <si>
    <t>https://github.com/BredaUniversityADSAI/2024-25A-FAI1-ADSAI--MaksBurchard240894/blob/2ae3f576392d9706e6ea6e2210835965cbc6e04f/Study%20Content/Data%20Science/Week%208%20Day%201%20(Monday)/Microsoft%20Learn%20-%20Describe%20Power%20BI%20Desktop%20models.pdf</t>
  </si>
  <si>
    <t>https://github.com/BredaUniversityADSAI/2024-25A-FAI1-ADSAI--MaksBurchard240894/blob/2ae3f576392d9706e6ea6e2210835965cbc6e04f/Study%20Content/Data%20Science/Week%208%20Day%201%20(Monday)/Microsoft%20Learn%20-%20Choose%20a%20Power%20BI%20model%20framework.pdf</t>
  </si>
  <si>
    <t>https://github.com/BredaUniversityADSAI/2024-25A-FAI1-ADSAI--MaksBurchard240894/blob/2ae3f576392d9706e6ea6e2210835965cbc6e04f/Study%20Content/Data%20Science/Week%208%20Day%201%20(Monday)/Microsoft%20Learn%20-%20Understand%20scalability%20in%20Power%20BI.pdf</t>
  </si>
  <si>
    <t>https://github.com/BredaUniversityADSAI/2024-25A-FAI1-ADSAI--MaksBurchard240894/blob/2ae3f576392d9706e6ea6e2210835965cbc6e04f/Study%20Content/Data%20Science/Week%208%20Day%201%20(Monday)/Microsoft%20Learn%20-%20Write%20DAX%20formulas%20for%20Power%20BI%20Desktop%20models.pdf</t>
  </si>
  <si>
    <t>https://github.com/BredaUniversityADSAI/2024-25A-FAI1-ADSAI--MaksBurchard240894/blob/2ae3f576392d9706e6ea6e2210835965cbc6e04f/Study%20Content/Data%20Science/Week%208%20Day%201%20(Monday)/Microsoft%20Learn%20-%20Create%20and%20manage%20scalable%20Power%20BI%20dataflows.pdf</t>
  </si>
  <si>
    <t>https://github.com/BredaUniversityADSAI/2024-25A-FAI1-ADSAI--MaksBurchard240894/blob/2ae3f576392d9706e6ea6e2210835965cbc6e04f/Study%20Content/Data%20Science/Week%208%20Day%201%20(Monday)/Microsoft%20Learn%20-%20Add%20measures%20to%20Power%20BI%20Desktop%20models.pdf</t>
  </si>
  <si>
    <t>https://github.com/BredaUniversityADSAI/2024-25A-FAI1-ADSAI--MaksBurchard240894/blob/2ae3f576392d9706e6ea6e2210835965cbc6e04f/Study%20Content/Data%20Science/Week%208%20Day%201%20(Monday)/Microsoft%20Learn%20-%20Add%20calculated%20tables%20and%20columns%20to%20Power%20BI%20Desktop%20models.pdf</t>
  </si>
  <si>
    <t>https://github.com/BredaUniversityADSAI/2024-25A-FAI1-ADSAI--MaksBurchard240894/blob/2ae3f576392d9706e6ea6e2210835965cbc6e04f/Study%20Content/Data%20Science/Week%208%20Day%201%20(Monday)/Dashboard%20Improvements.txt</t>
  </si>
  <si>
    <t>https://github.com/BredaUniversityADSAI/2024-25A-FAI1-ADSAI--MaksBurchard240894/blob/aec986e4ddea6178f2607b54e2650c8e1a5bfccf/Deliverables/Prerequisites/Worklog%20Y1A%20ADSAI%202024-2025.xlsx</t>
  </si>
  <si>
    <t>DataLab stand-up meeting</t>
  </si>
  <si>
    <t>26&amp;27&amp;29-10-2024</t>
  </si>
  <si>
    <t>Follow peers' presentations</t>
  </si>
  <si>
    <t>Present my own dashboard</t>
  </si>
  <si>
    <t>Read presentation feedback report</t>
  </si>
  <si>
    <t>Incorporate feedback from report into dashboard</t>
  </si>
  <si>
    <t>Follow peers' presentations II</t>
  </si>
  <si>
    <t>Explain to Jim the Zooniverse week 9&amp;10 challenge</t>
  </si>
  <si>
    <t>Research Hatsune Miku</t>
  </si>
  <si>
    <t>https://github.com/BredaUniversityADSAI/2024-25A-FAI1-ADSAI--MaksBurchard240894/blob/b4c50b0dbaf98d57a4fd4c21d5ce43acb756d334/Study%20Content/Data%20Science/Week%207/UX%20Improvements%20(Wednesday).txt</t>
  </si>
  <si>
    <t>Clean up Work Log</t>
  </si>
  <si>
    <t>Fill in Learning Log section C</t>
  </si>
  <si>
    <t>We had a lot of time to work on our Dashboards.</t>
  </si>
  <si>
    <t>Fill in Self-Assesment Rubric</t>
  </si>
  <si>
    <t>I did this because Jim did not yet do his own research into the challenge.</t>
  </si>
  <si>
    <t>This was to further develop my relationship with my co-students.</t>
  </si>
  <si>
    <t>Help Jim with his presentation</t>
  </si>
  <si>
    <t>Due to the specifications of Jim's laptop, he could not connect his laptop to the screen, so I helped him by connecting my laptop to the screen and showing his dashboard on my laptop.</t>
  </si>
  <si>
    <t>https://github.com/BredaUniversityADSAI/2024-25A-FAI1-ADSAI--MaksBurchard240894/blob/14500c2db919b47ed979ea62a8b6f96f7a9de1e7/Study%20Content/Data%20Science/Week%208%20Day%202%20(Tuesday)/dashboard_Jim.pbix</t>
  </si>
  <si>
    <t>https://github.com/BredaUniversityADSAI/2024-25A-FAI1-ADSAI--MaksBurchard240894/blob/14500c2db919b47ed979ea62a8b6f96f7a9de1e7/Study%20Content/Data%20Science/Week%208%20Day%202%20(Tuesday)/europe2024_guidebook.pdf</t>
  </si>
  <si>
    <t>https://github.com/BredaUniversityADSAI/2024-25A-FAI1-ADSAI--MaksBurchard240894/blob/14500c2db919b47ed979ea62a8b6f96f7a9de1e7/Block%20A/Week%209%20%26%2010%20Challenges/Zooniverse/Certificate%20_%20Zooniverse_Maks_Burchard_2.pdf</t>
  </si>
  <si>
    <t>https://github.com/BredaUniversityADSAI/2024-25A-FAI1-ADSAI--MaksBurchard240894/blob/14500c2db919b47ed979ea62a8b6f96f7a9de1e7/Study%20Content/Data%20Science/Week%208%20Day%202%20(Tuesday)/dashboard-feedback-Maks.pdf</t>
  </si>
  <si>
    <t>https://github.com/BredaUniversityADSAI/2024-25A-FAI1-ADSAI--MaksBurchard240894/blob/14500c2db919b47ed979ea62a8b6f96f7a9de1e7/Block%20A/Introduction%20to%20Data%20Science/Power%20BI%20Progression/SDG-Dashboard_17%20(Post-Feedback%20II).pbix</t>
  </si>
  <si>
    <t>https://github.com/BredaUniversityADSAI/2024-25A-FAI1-ADSAI--MaksBurchard240894/blob/14500c2db919b47ed979ea62a8b6f96f7a9de1e7/Block%20A/Introduction%20to%20Data%20Science/Power%20BI%20Progression/SDG-Dashboard_15%20(Week%208%20Tuesday%20II).pbix</t>
  </si>
  <si>
    <t>https://github.com/BredaUniversityADSAI/2024-25A-FAI1-ADSAI--MaksBurchard240894/blob/14500c2db919b47ed979ea62a8b6f96f7a9de1e7/Deliverables/Prerequisites/Learning%20Log%20Y1A%20ADSAI%202024-2025.pptx</t>
  </si>
  <si>
    <t>https://github.com/BredaUniversityADSAI/2024-25A-FAI1-ADSAI--MaksBurchard240894/blob/14500c2db919b47ed979ea62a8b6f96f7a9de1e7/Deliverables/Prerequisites/Worklog%20Y1A%20ADSAI%202024-2025.xlsx</t>
  </si>
  <si>
    <t>https://github.com/BredaUniversityADSAI/2024-25A-FAI1-ADSAI--MaksBurchard240894/blob/14500c2db919b47ed979ea62a8b6f96f7a9de1e7/Deliverables/Prerequisites/Self%20Assessment%20Rubric%20Y1A%20ADSAI%202024-2025.xlsx</t>
  </si>
  <si>
    <t>Finalise Work Log</t>
  </si>
  <si>
    <t>Finalise Learning Log</t>
  </si>
  <si>
    <t>Finalise Dashboard</t>
  </si>
  <si>
    <t>Finalise CRISP-DM</t>
  </si>
  <si>
    <t>I did not have time to do this as I was too busy working on the final deliverables.</t>
  </si>
  <si>
    <t>Did a bit more than planned, including colouring the top bar to the NS colours</t>
  </si>
  <si>
    <t>Last-minute dashboard changes</t>
  </si>
  <si>
    <t>Present dashboard</t>
  </si>
  <si>
    <t>Watch peers' presentations</t>
  </si>
  <si>
    <t>Friday DataLab stand-up meeting</t>
  </si>
  <si>
    <t>Submit the deliverables in Brightspace</t>
  </si>
  <si>
    <t>https://github.com/BredaUniversityADSAI/2024-25A-FAI1-ADSAI--MaksBurchard240894/blob/fc3261285238acafefb698a2011c65aa84a60c4a/Deliverables/Task%202-7%20(Dashboard)/SDG-Dashboard_Final.pbix</t>
  </si>
  <si>
    <t>https://github.com/BredaUniversityADSAI/2024-25A-FAI1-ADSAI--MaksBurchard240894/blob/fc3261285238acafefb698a2011c65aa84a60c4a/Block%20A/Introduction%20to%20Data%20Science/Power%20BI%20Progression/SDG-Dashboard_20%20(Finalisation%20III).pbix</t>
  </si>
  <si>
    <t>https://github.com/BredaUniversityADSAI/2024-25A-FAI1-ADSAI--MaksBurchard240894/blob/fc3261285238acafefb698a2011c65aa84a60c4a/Deliverables/Task%202-7%20(Dashboard)/CRISP_DM_Maks_Burchard.docx</t>
  </si>
  <si>
    <t>https://github.com/BredaUniversityADSAI/2024-25A-FAI1-ADSAI--MaksBurchard240894/blob/fc3261285238acafefb698a2011c65aa84a60c4a/Study%20Content/Data%20Science/Week%208%20Day%205%20(Friday)/SDGIndicatorsDashboard_JimDucker.pbix</t>
  </si>
  <si>
    <t>Finalise Self-assesment rubric</t>
  </si>
  <si>
    <t>https://github.com/BredaUniversityADSAI/2024-25A-FAI1-ADSAI--MaksBurchard240894/blob/98f19f8513fc675aaa4f1ea36ed4683bd4c11bc3/Deliverables/Prerequisites/Worklog%20Y1A%20ADSAI%202024-2025.xlsx</t>
  </si>
  <si>
    <t>We finished before time.</t>
  </si>
  <si>
    <t>Help Jim with presenting his dashboard</t>
  </si>
  <si>
    <t>Problems with computer ports, so he used my computer.</t>
  </si>
  <si>
    <t>https://github.com/BredaUniversityADSAI/2024-25A-FAI1-ADSAI--MaksBurchard240894/blob/98f19f8513fc675aaa4f1ea36ed4683bd4c11bc3/Deliverables/Prerequisites/Self%20Assessment%20Rubric%20Y1A%20ADSAI%202024-2025.xlsx</t>
  </si>
  <si>
    <t>https://github.com/BredaUniversityADSAI/2024-25A-FAI1-ADSAI--MaksBurchard240894/blob/98f19f8513fc675aaa4f1ea36ed4683bd4c11bc3/Deliverables/Prerequisites/Learning%20Log%20Y1A%20ADSAI%202024-2025.pptx</t>
  </si>
  <si>
    <t xml:space="preserve">https://github.com/BredaUniversityADSAI/2024-25A-FAI1-ADSAI--MaksBurchard240894/blob/73bfc5f2c1234a19df5f18d84af55b4019164afd/Block%20A/Voltooiingscertificaat_Using%20Feedback%20to%20Drive%20Performance.pdf  and https://github.com/BredaUniversityADSAI/2024-25A-FAI1-ADSAI--MaksBurchard240894/blob/73bfc5f2c1234a19df5f18d84af55b4019164afd/Study%20Content/Artificial%20Intelligence/8.%20DataLab%202%20Creative%20Brief%20%26%20Feedback.pdf  </t>
  </si>
  <si>
    <t>Change CRISP-DM to .pdf format and change the files accordingly</t>
  </si>
  <si>
    <t>https://github.com/BredaUniversityADSAI/2024-25A-FAI1-ADSAI--MaksBurchard240894/blob/509ef6211152edade770551faf371b9aba8fdc3f/Deliverables/Task%202-7%20(Dashboard)/CRISP_DM_Maks_Burchard.pdf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</si>
</sst>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5"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u/>
      <sz val="10"/>
      <color theme="10"/>
      <name val="Arial"/>
    </font>
    <font>
      <sz val="9"/>
      <color rgb="FF000000"/>
      <name val="Calibri"/>
      <family val="2"/>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3" fillId="0" borderId="0" applyNumberFormat="0" applyFill="0" applyBorder="0" applyAlignment="0" applyProtection="0"/>
  </cellStyleXfs>
  <cellXfs count="77">
    <xf numFmtId="0" fontId="0" fillId="0" borderId="0" xfId="0"/>
    <xf numFmtId="0" fontId="1" fillId="2" borderId="0" xfId="0" applyFont="1" applyFill="1"/>
    <xf numFmtId="0" fontId="2" fillId="0" borderId="2" xfId="0" applyFont="1" applyBorder="1" applyAlignment="1">
      <alignment horizontal="center"/>
    </xf>
    <xf numFmtId="0" fontId="3" fillId="2" borderId="0" xfId="0" applyFont="1" applyFill="1" applyAlignment="1">
      <alignment wrapText="1"/>
    </xf>
    <xf numFmtId="0" fontId="2" fillId="0" borderId="1" xfId="0" applyFont="1" applyBorder="1" applyAlignment="1">
      <alignment horizontal="center"/>
    </xf>
    <xf numFmtId="0" fontId="3" fillId="2" borderId="0" xfId="0" applyFont="1" applyFill="1" applyAlignment="1">
      <alignment horizontal="center" wrapText="1"/>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9" fillId="0" borderId="0" xfId="0" applyFont="1" applyAlignment="1">
      <alignment vertical="top"/>
    </xf>
    <xf numFmtId="0" fontId="8" fillId="0" borderId="0" xfId="0" applyFont="1" applyAlignment="1">
      <alignment horizontal="center" vertical="top"/>
    </xf>
    <xf numFmtId="0" fontId="10" fillId="0" borderId="0" xfId="0" applyFont="1" applyAlignment="1">
      <alignment horizontal="left" vertical="top"/>
    </xf>
    <xf numFmtId="0" fontId="6" fillId="5" borderId="0" xfId="0" applyFont="1" applyFill="1" applyAlignment="1">
      <alignment horizontal="center" vertical="top"/>
    </xf>
    <xf numFmtId="0" fontId="8" fillId="0" borderId="0" xfId="0" applyFont="1" applyAlignment="1">
      <alignment vertical="top" wrapText="1"/>
    </xf>
    <xf numFmtId="0" fontId="2" fillId="0" borderId="1" xfId="0" applyFont="1" applyBorder="1"/>
    <xf numFmtId="0" fontId="2" fillId="0" borderId="2" xfId="0" applyFont="1" applyBorder="1" applyAlignment="1">
      <alignment horizontal="center" vertical="top"/>
    </xf>
    <xf numFmtId="165" fontId="8" fillId="0" borderId="7" xfId="0" applyNumberFormat="1" applyFont="1" applyBorder="1" applyAlignment="1">
      <alignment vertical="top"/>
    </xf>
    <xf numFmtId="0" fontId="2" fillId="0" borderId="1" xfId="0" applyFont="1" applyBorder="1" applyAlignment="1">
      <alignment horizontal="center" vertical="top"/>
    </xf>
    <xf numFmtId="0" fontId="8" fillId="0" borderId="7" xfId="0" applyFont="1" applyBorder="1" applyAlignment="1">
      <alignment vertical="top"/>
    </xf>
    <xf numFmtId="0" fontId="6" fillId="0" borderId="0" xfId="0" applyFont="1"/>
    <xf numFmtId="0" fontId="6" fillId="0" borderId="0" xfId="0" applyFont="1" applyAlignment="1">
      <alignment horizontal="center"/>
    </xf>
    <xf numFmtId="0" fontId="8" fillId="0" borderId="7" xfId="0" applyFont="1" applyBorder="1" applyAlignment="1">
      <alignment horizontal="right" vertical="top"/>
    </xf>
    <xf numFmtId="0" fontId="8" fillId="0" borderId="7" xfId="0" applyFont="1" applyBorder="1" applyAlignment="1">
      <alignment horizontal="left" vertical="top"/>
    </xf>
    <xf numFmtId="0" fontId="4" fillId="8" borderId="1" xfId="0" applyFont="1" applyFill="1" applyBorder="1" applyAlignment="1">
      <alignment vertical="center" wrapText="1"/>
    </xf>
    <xf numFmtId="166" fontId="8" fillId="0" borderId="0" xfId="0" applyNumberFormat="1" applyFont="1" applyAlignment="1">
      <alignment horizontal="right" vertical="top"/>
    </xf>
    <xf numFmtId="0" fontId="8" fillId="0" borderId="0" xfId="0" applyFont="1" applyAlignment="1">
      <alignment vertical="top"/>
    </xf>
    <xf numFmtId="0" fontId="8" fillId="0" borderId="0" xfId="0" applyFont="1" applyAlignment="1">
      <alignment horizontal="left" vertical="top"/>
    </xf>
    <xf numFmtId="0" fontId="8" fillId="0" borderId="0" xfId="0" applyFont="1" applyAlignment="1">
      <alignment horizontal="right" vertical="top"/>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164" fontId="8" fillId="0" borderId="0" xfId="0" applyNumberFormat="1" applyFont="1" applyAlignment="1">
      <alignment horizontal="right" vertical="top"/>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14" borderId="8" xfId="0" applyFont="1" applyFill="1" applyBorder="1" applyAlignment="1">
      <alignment vertical="center" wrapText="1"/>
    </xf>
    <xf numFmtId="0" fontId="4" fillId="14" borderId="9" xfId="0" applyFont="1" applyFill="1" applyBorder="1" applyAlignment="1">
      <alignment vertical="center" wrapText="1"/>
    </xf>
    <xf numFmtId="0" fontId="5" fillId="0" borderId="0" xfId="0" applyFont="1" applyAlignment="1">
      <alignment horizontal="right"/>
    </xf>
    <xf numFmtId="0" fontId="8" fillId="0" borderId="0" xfId="0" applyFont="1"/>
    <xf numFmtId="0" fontId="8" fillId="0" borderId="0" xfId="0" applyFont="1" applyAlignment="1">
      <alignment horizontal="right"/>
    </xf>
    <xf numFmtId="0" fontId="4" fillId="8" borderId="3" xfId="0" applyFont="1" applyFill="1" applyBorder="1" applyAlignment="1">
      <alignment vertical="center" wrapText="1"/>
    </xf>
    <xf numFmtId="0" fontId="13" fillId="0" borderId="0" xfId="1" applyAlignment="1">
      <alignment horizontal="left" vertical="top"/>
    </xf>
    <xf numFmtId="0" fontId="14" fillId="0" borderId="0" xfId="0" applyFont="1" applyAlignment="1">
      <alignment vertical="top"/>
    </xf>
    <xf numFmtId="0" fontId="14" fillId="0" borderId="0" xfId="0" applyFont="1"/>
    <xf numFmtId="0" fontId="13" fillId="0" borderId="0" xfId="1"/>
    <xf numFmtId="0" fontId="13" fillId="0" borderId="0" xfId="1" applyAlignment="1">
      <alignment vertical="top"/>
    </xf>
    <xf numFmtId="0" fontId="4" fillId="3" borderId="3" xfId="0" applyFont="1" applyFill="1" applyBorder="1" applyAlignment="1">
      <alignment horizontal="left" vertical="center" wrapText="1"/>
    </xf>
    <xf numFmtId="0" fontId="5" fillId="0" borderId="3" xfId="0" applyFont="1" applyBorder="1"/>
    <xf numFmtId="0" fontId="7" fillId="3" borderId="5" xfId="0" applyFont="1" applyFill="1" applyBorder="1" applyAlignment="1">
      <alignment vertical="center"/>
    </xf>
    <xf numFmtId="0" fontId="5" fillId="0" borderId="2" xfId="0" applyFont="1" applyBorder="1"/>
    <xf numFmtId="0" fontId="5" fillId="0" borderId="6" xfId="0" applyFont="1" applyBorder="1"/>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4" fillId="14" borderId="5" xfId="0" applyFont="1" applyFill="1" applyBorder="1" applyAlignment="1">
      <alignment wrapText="1"/>
    </xf>
    <xf numFmtId="0" fontId="7" fillId="14" borderId="3" xfId="0" applyFont="1" applyFill="1" applyBorder="1"/>
    <xf numFmtId="0" fontId="5" fillId="0" borderId="8" xfId="0" applyFont="1" applyBorder="1"/>
    <xf numFmtId="0" fontId="7" fillId="14" borderId="3" xfId="0" applyFont="1" applyFill="1" applyBorder="1" applyAlignment="1">
      <alignment vertical="center"/>
    </xf>
    <xf numFmtId="0" fontId="4" fillId="12" borderId="5" xfId="0" applyFont="1" applyFill="1" applyBorder="1" applyAlignment="1">
      <alignment vertical="center" wrapText="1"/>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7" fillId="13" borderId="5" xfId="0" applyFont="1" applyFill="1" applyBorder="1" applyAlignment="1">
      <alignment vertical="center"/>
    </xf>
    <xf numFmtId="0" fontId="5" fillId="7" borderId="0" xfId="0" applyFont="1" applyFill="1" applyAlignment="1">
      <alignment horizontal="center" vertical="center" wrapText="1"/>
    </xf>
    <xf numFmtId="0" fontId="11" fillId="6" borderId="0" xfId="0" applyFont="1" applyFill="1" applyAlignment="1">
      <alignment vertical="top" wrapText="1"/>
    </xf>
    <xf numFmtId="0" fontId="0" fillId="0" borderId="0" xfId="0"/>
  </cellXfs>
  <cellStyles count="2">
    <cellStyle name="Hyperlink" xfId="1" builtinId="8"/>
    <cellStyle name="Normal" xfId="0" builtinId="0"/>
  </cellStyles>
  <dxfs count="11">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BredaUniversityADSAI/2024-25A-FAI1-ADSAI--MaksBurchard240894/blob/2ae3f576392d9706e6ea6e2210835965cbc6e04f/Study%20Content/Data%20Science/Week%208%20Day%201%20(Monday)/Certificate%20-%20Intermediate%20Data%20Modeling%20in%20Power%20BI.pdf" TargetMode="External"/><Relationship Id="rId21" Type="http://schemas.openxmlformats.org/officeDocument/2006/relationships/hyperlink" Target="https://github.com/BredaUniversityADSAI/2024-25A-FAI1-ADSAI--MaksBurchard240894/blob/1c176cf782450a7e11dc8a158a58796e2858d72c/Jupyter%20Notebooks/2023-24-Y1-BlockA-Python-main/1.%20Variables.ipynb" TargetMode="External"/><Relationship Id="rId42" Type="http://schemas.openxmlformats.org/officeDocument/2006/relationships/hyperlink" Target="https://github.com/BredaUniversityADSAI/2024-25A-FAI1-ADSAI--MaksBurchard240894/blob/d2b496e88a4ee3c1850650de1206e7613dbd0d85/Deliverables/Prerequisites/Learning%20Log%20Y1A%20ADSAI%202024-2025.pptx" TargetMode="External"/><Relationship Id="rId63" Type="http://schemas.openxmlformats.org/officeDocument/2006/relationships/hyperlink" Target="https://github.com/BredaUniversityADSAI/2024-25A-FAI1-ADSAI--MaksBurchard240894/blob/ad049761820c795bcd83f412384c9fff18011512/Study%20Content/Data%20Science/Week%204%20Day%203%20(Wednesday)/Advanced%20Excel%20Functions.xlsx" TargetMode="External"/><Relationship Id="rId84" Type="http://schemas.openxmlformats.org/officeDocument/2006/relationships/hyperlink" Target="https://github.com/BredaUniversityADSAI/2024-25A-FAI1-ADSAI--MaksBurchard240894/blob/0e8196f7f7e1375f6186a665aa0a8f0317c8e346/Study%20Content/Data%20Science/Week%205%20Day%203%20(Wednesday)/Achievements%20-%20burchardmaks-9928%20_%20Microsoft%20Learn.pdf" TargetMode="External"/><Relationship Id="rId138" Type="http://schemas.openxmlformats.org/officeDocument/2006/relationships/hyperlink" Target="https://github.com/BredaUniversityADSAI/2024-25A-FAI1-ADSAI--MaksBurchard240894/blob/14500c2db919b47ed979ea62a8b6f96f7a9de1e7/Deliverables/Prerequisites/Worklog%20Y1A%20ADSAI%202024-2025.xlsx" TargetMode="External"/><Relationship Id="rId107" Type="http://schemas.openxmlformats.org/officeDocument/2006/relationships/hyperlink" Target="https://github.com/BredaUniversityADSAI/2024-25A-FAI1-ADSAI--MaksBurchard240894/blob/9b2f2eb9beebbdd1eee69c22ba58e1e5d4ef679a/Deliverables/Task%202-7%20(Dashboard)/CRISP_DM_Maks_Burchard.docx" TargetMode="External"/><Relationship Id="rId11" Type="http://schemas.openxmlformats.org/officeDocument/2006/relationships/hyperlink" Target="https://github.com/BredaUniversityADSAI/2024-25A-FAI1-ADSAI--MaksBurchard240894/blob/ad5854d0c54dc2b5a7182d65a12404889949059b/Study%20Content/Artificial%20Intelligence/7.%20Taxonomy%20of%20AI%20I.pdf" TargetMode="External"/><Relationship Id="rId32" Type="http://schemas.openxmlformats.org/officeDocument/2006/relationships/hyperlink" Target="https://github.com/BredaUniversityADSAI/2024-25A-FAI1-ADSAI--MaksBurchard240894/blob/8a67b2098f585c1871e4aa8809119f5341dce29e/Study%20Content/Artificial%20Intelligence/11.%20Risks%20%26%20Benefits%20of%20AI.pdf" TargetMode="External"/><Relationship Id="rId53" Type="http://schemas.openxmlformats.org/officeDocument/2006/relationships/hyperlink" Target="https://github.com/BredaUniversityADSAI/2024-25A-FAI1-ADSAI--MaksBurchard240894/blob/bf73bb460c64d1b1b17461c3b718e9f5dcef6a2c/Deliverables/Prerequisites/Worklog%20Y1A%20ADSAI%202024-2025.xlsx" TargetMode="External"/><Relationship Id="rId74" Type="http://schemas.openxmlformats.org/officeDocument/2006/relationships/hyperlink" Target="https://github.com/BredaUniversityADSAI/2024-25A-FAI1-ADSAI--MaksBurchard240894/blob/67a89d45d222139e2f0cd51b855a89650717579a/Deliverables/Prerequisites/Learning%20Log%20Y1A%20ADSAI%202024-2025.pptx" TargetMode="External"/><Relationship Id="rId128" Type="http://schemas.openxmlformats.org/officeDocument/2006/relationships/hyperlink" Target="https://github.com/BredaUniversityADSAI/2024-25A-FAI1-ADSAI--MaksBurchard240894/blob/aec986e4ddea6178f2607b54e2650c8e1a5bfccf/Deliverables/Prerequisites/Worklog%20Y1A%20ADSAI%202024-2025.xlsx" TargetMode="External"/><Relationship Id="rId149" Type="http://schemas.openxmlformats.org/officeDocument/2006/relationships/hyperlink" Target="https://github.com/BredaUniversityADSAI/2024-25A-FAI1-ADSAI--MaksBurchard240894/blob/509ef6211152edade770551faf371b9aba8fdc3f/Deliverables/Task%202-7%20(Dashboard)/CRISP_DM_Maks_Burchard.pdf" TargetMode="External"/><Relationship Id="rId5" Type="http://schemas.openxmlformats.org/officeDocument/2006/relationships/hyperlink" Target="https://github.com/BredaUniversityADSAI/2024-25A-FAI1-ADSAI--MaksBurchard240894/blob/ad5854d0c54dc2b5a7182d65a12404889949059b/Study%20Content/Artificial%20Intelligence/6.%20DataLab%201%20Creative%20Brief%20%26%20Turing%20Test.pdf" TargetMode="External"/><Relationship Id="rId95" Type="http://schemas.openxmlformats.org/officeDocument/2006/relationships/hyperlink" Target="https://github.com/BredaUniversityADSAI/2024-25A-FAI1-ADSAI--MaksBurchard240894/blob/41d63ef91a0763ad5105af8caef7f2616f5844bb/Study%20Content/Data%20Science/Week%206%20Day%203%20(Wednesday)/Data%20Modeling%20in%20Power%20Bi%20Certificate.pdf" TargetMode="External"/><Relationship Id="rId22" Type="http://schemas.openxmlformats.org/officeDocument/2006/relationships/hyperlink" Target="https://github.com/BredaUniversityADSAI/2024-25A-FAI1-ADSAI--MaksBurchard240894/blob/1c176cf782450a7e11dc8a158a58796e2858d72c/Jupyter%20Notebooks/2023-24-Y1-BlockA-Python-main/2.%20Conditional%20execution.ipynb" TargetMode="External"/><Relationship Id="rId27" Type="http://schemas.openxmlformats.org/officeDocument/2006/relationships/hyperlink" Target="https://github.com/BredaUniversityADSAI/2024-25A-FAI1-ADSAI--MaksBurchard240894/blob/1c176cf782450a7e11dc8a158a58796e2858d72c/Study%20Content/Artificial%20Intelligence/2.%20DataLab%201%20Creative%20Brief.pdf" TargetMode="External"/><Relationship Id="rId43" Type="http://schemas.openxmlformats.org/officeDocument/2006/relationships/hyperlink" Target="https://github.com/BredaUniversityADSAI/2024-25A-FAI1-ADSAI--MaksBurchard240894/blob/d2b496e88a4ee3c1850650de1206e7613dbd0d85/Block%20A/Introduction%20to%20Data%20Science/certificate.pdf" TargetMode="External"/><Relationship Id="rId48" Type="http://schemas.openxmlformats.org/officeDocument/2006/relationships/hyperlink" Target="https://github.com/BredaUniversityADSAI/2024-25A-FAI1-ADSAI--MaksBurchard240894/blob/7cede706ac94da29bef69c5b2d9a627b11fc84ab/Study%20Content/Data%20Science/Week%204%20Day%202%20(Tuesday)/W4D1%20Feedback.txt" TargetMode="External"/><Relationship Id="rId64" Type="http://schemas.openxmlformats.org/officeDocument/2006/relationships/hyperlink" Target="https://github.com/BredaUniversityADSAI/2024-25A-FAI1-ADSAI--MaksBurchard240894/blob/ad049761820c795bcd83f412384c9fff18011512/Study%20Content/Data%20Science/Week%204%20Day%203%20(Wednesday)/Basic%20Excel%20Functions.xlsx" TargetMode="External"/><Relationship Id="rId69" Type="http://schemas.openxmlformats.org/officeDocument/2006/relationships/hyperlink" Target="https://github.com/BredaUniversityADSAI/2024-25A-FAI1-ADSAI--MaksBurchard240894/blob/f095d77286ddaa81169709ebf7fd1239203c1b9f/Deliverables/Prerequisites/Worklog%20Y1A%20ADSAI%202024-2025.xlsx" TargetMode="External"/><Relationship Id="rId113" Type="http://schemas.openxmlformats.org/officeDocument/2006/relationships/hyperlink" Target="https://github.com/BredaUniversityADSAI/2024-25A-FAI1-ADSAI--MaksBurchard240894/blob/ff8edd5dee67f1dbf7a8c568572d7ee635093f2c/Block%20A/Week%209%20%26%2010%20Challenges/Zooniverse/E-mail%20-%20Burchard%2C%20Maks%20(240894)%20-%20Outlook.pdf" TargetMode="External"/><Relationship Id="rId118" Type="http://schemas.openxmlformats.org/officeDocument/2006/relationships/hyperlink" Target="https://github.com/BredaUniversityADSAI/2024-25A-FAI1-ADSAI--MaksBurchard240894/blob/2ae3f576392d9706e6ea6e2210835965cbc6e04f/Study%20Content/Data%20Science/Week%208%20Day%201%20(Monday)/Microsoft%20Learn%20-%20Design%20a%20semantic%20model%20in%20Power%20BI.pdf" TargetMode="External"/><Relationship Id="rId134" Type="http://schemas.openxmlformats.org/officeDocument/2006/relationships/hyperlink" Target="https://github.com/BredaUniversityADSAI/2024-25A-FAI1-ADSAI--MaksBurchard240894/blob/14500c2db919b47ed979ea62a8b6f96f7a9de1e7/Block%20A/Introduction%20to%20Data%20Science/Power%20BI%20Progression/SDG-Dashboard_17%20(Post-Feedback%20II).pbix" TargetMode="External"/><Relationship Id="rId139" Type="http://schemas.openxmlformats.org/officeDocument/2006/relationships/hyperlink" Target="https://github.com/BredaUniversityADSAI/2024-25A-FAI1-ADSAI--MaksBurchard240894/blob/14500c2db919b47ed979ea62a8b6f96f7a9de1e7/Deliverables/Prerequisites/Worklog%20Y1A%20ADSAI%202024-2025.xlsx" TargetMode="External"/><Relationship Id="rId80" Type="http://schemas.openxmlformats.org/officeDocument/2006/relationships/hyperlink" Target="https://github.com/BredaUniversityADSAI/2024-25A-FAI1-ADSAI--MaksBurchard240894/blob/0e8196f7f7e1375f6186a665aa0a8f0317c8e346/Study%20Content/Data%20Science/Week%205%20Day%201%20(Monday)/DataCamp%20course%20-%20Data%20Visualization%20in%20Power%20BI.pdf" TargetMode="External"/><Relationship Id="rId85" Type="http://schemas.openxmlformats.org/officeDocument/2006/relationships/hyperlink" Target="https://github.com/BredaUniversityADSAI/2024-25A-FAI1-ADSAI--MaksBurchard240894/blob/0e8196f7f7e1375f6186a665aa0a8f0317c8e346/Block%20A/Introduction%20to%20Data%20Science/Power%20BI%20Progression/SDG_Dashboard_5%20(W5%20Friday%20I).pbix" TargetMode="External"/><Relationship Id="rId12" Type="http://schemas.openxmlformats.org/officeDocument/2006/relationships/hyperlink" Target="https://github.com/BredaUniversityADSAI/2024-25A-FAI1-ADSAI--MaksBurchard240894/blob/ad5854d0c54dc2b5a7182d65a12404889949059b/Block%20A/Worklog%20Y1A%20ADSAI%202024-2025.xlsx" TargetMode="External"/><Relationship Id="rId17" Type="http://schemas.openxmlformats.org/officeDocument/2006/relationships/hyperlink" Target="https://github.com/BredaUniversityADSAI/2024-25A-FAI1-ADSAI--MaksBurchard240894/blob/0576af4cf749f03d46a7670764dd6460dbedc51b/Block%20A/ILO%203.1%20Presentation%20Script.docx" TargetMode="External"/><Relationship Id="rId33" Type="http://schemas.openxmlformats.org/officeDocument/2006/relationships/hyperlink" Target="https://github.com/BredaUniversityADSAI/2024-25A-FAI1-ADSAI--MaksBurchard240894/blob/35cdcd684d815f05e261508f0ab98b67ae74377c/Deliverables/Task%201%20(Presentation%20on%20AI%20in%20Science%20Fiction)/Personalized%20Advertisements%202.pdf" TargetMode="External"/><Relationship Id="rId38" Type="http://schemas.openxmlformats.org/officeDocument/2006/relationships/hyperlink" Target="https://github.com/BredaUniversityADSAI/2024-25A-FAI1-ADSAI--MaksBurchard240894/blob/35cdcd684d815f05e261508f0ab98b67ae74377c/Block%20A/ILO%203.1%20Presentation%20Script.docx" TargetMode="External"/><Relationship Id="rId59" Type="http://schemas.openxmlformats.org/officeDocument/2006/relationships/hyperlink" Target="https://github.com/BredaUniversityADSAI/2024-25A-FAI1-ADSAI--MaksBurchard240894/blob/ad049761820c795bcd83f412384c9fff18011512/Deliverables/Prerequisites/Worklog%20Y1A%20ADSAI%202024-2025.xlsx" TargetMode="External"/><Relationship Id="rId103" Type="http://schemas.openxmlformats.org/officeDocument/2006/relationships/hyperlink" Target="https://github.com/BredaUniversityADSAI/2024-25A-FAI1-ADSAI--MaksBurchard240894/blob/9b2f2eb9beebbdd1eee69c22ba58e1e5d4ef679a/Deliverables/Prerequisites/Learning%20Log%20Y1A%20ADSAI%202024-2025.pptx" TargetMode="External"/><Relationship Id="rId108" Type="http://schemas.openxmlformats.org/officeDocument/2006/relationships/hyperlink" Target="https://github.com/BredaUniversityADSAI/2024-25A-FAI1-ADSAI--MaksBurchard240894/blob/a5d9eb9d7577e8315a2835cc99fd7ef3a17bb7cf/Deliverables/Prerequisites/Worklog%20Y1A%20ADSAI%202024-2025.xlsx" TargetMode="External"/><Relationship Id="rId124" Type="http://schemas.openxmlformats.org/officeDocument/2006/relationships/hyperlink" Target="https://github.com/BredaUniversityADSAI/2024-25A-FAI1-ADSAI--MaksBurchard240894/blob/2ae3f576392d9706e6ea6e2210835965cbc6e04f/Study%20Content/Data%20Science/Week%208%20Day%201%20(Monday)/Microsoft%20Learn%20-%20Create%20and%20manage%20scalable%20Power%20BI%20dataflows.pdf" TargetMode="External"/><Relationship Id="rId129" Type="http://schemas.openxmlformats.org/officeDocument/2006/relationships/hyperlink" Target="https://github.com/BredaUniversityADSAI/2024-25A-FAI1-ADSAI--MaksBurchard240894/blob/b4c50b0dbaf98d57a4fd4c21d5ce43acb756d334/Study%20Content/Data%20Science/Week%207/UX%20Improvements%20(Wednesday).txt" TargetMode="External"/><Relationship Id="rId54" Type="http://schemas.openxmlformats.org/officeDocument/2006/relationships/hyperlink" Target="https://github.com/BredaUniversityADSAI/2024-25A-FAI1-ADSAI--MaksBurchard240894/blob/bf73bb460c64d1b1b17461c3b718e9f5dcef6a2c/Deliverables/Prerequisites/Worklog%20Y1A%20ADSAI%202024-2025.xlsx" TargetMode="External"/><Relationship Id="rId70" Type="http://schemas.openxmlformats.org/officeDocument/2006/relationships/hyperlink" Target="https://github.com/BredaUniversityADSAI/2024-25A-FAI1-ADSAI--MaksBurchard240894/blob/a9e3e4dc9bf47b57a0a7f3ec6b55555a6349f814/Deliverables/Prerequisites/Worklog%20Y1A%20ADSAI%202024-2025.xlsx" TargetMode="External"/><Relationship Id="rId75" Type="http://schemas.openxmlformats.org/officeDocument/2006/relationships/hyperlink" Target="https://github.com/BredaUniversityADSAI/2024-25A-FAI1-ADSAI--MaksBurchard240894/blob/67a89d45d222139e2f0cd51b855a89650717579a/Deliverables/Prerequisites/Learning%20Log%20Y1A%20ADSAI%202024-2025.pptx" TargetMode="External"/><Relationship Id="rId91" Type="http://schemas.openxmlformats.org/officeDocument/2006/relationships/hyperlink" Target="https://github.com/BredaUniversityADSAI/2024-25A-FAI1-ADSAI--MaksBurchard240894/blob/a377017cefe7c33797cd29556a6170f1f7e91649/Study%20Content/Data%20Science/Week%206%20Day%202%20(Tuesday)/Variability.txt" TargetMode="External"/><Relationship Id="rId96" Type="http://schemas.openxmlformats.org/officeDocument/2006/relationships/hyperlink" Target="https://github.com/BredaUniversityADSAI/2024-25A-FAI1-ADSAI--MaksBurchard240894/blob/a653fcda13ee8024a0e56067acbffbc5f93df637/Study%20Content/Data%20Science/Week%206%20Day%203%20(Wednesday)/CorrelationDatalabPreparation.pbix" TargetMode="External"/><Relationship Id="rId140" Type="http://schemas.openxmlformats.org/officeDocument/2006/relationships/hyperlink" Target="https://github.com/BredaUniversityADSAI/2024-25A-FAI1-ADSAI--MaksBurchard240894/blob/14500c2db919b47ed979ea62a8b6f96f7a9de1e7/Deliverables/Prerequisites/Self%20Assessment%20Rubric%20Y1A%20ADSAI%202024-2025.xlsx" TargetMode="External"/><Relationship Id="rId145" Type="http://schemas.openxmlformats.org/officeDocument/2006/relationships/hyperlink" Target="https://github.com/BredaUniversityADSAI/2024-25A-FAI1-ADSAI--MaksBurchard240894/blob/fc3261285238acafefb698a2011c65aa84a60c4a/Study%20Content/Data%20Science/Week%208%20Day%205%20(Friday)/SDGIndicatorsDashboard_JimDucker.pbix" TargetMode="External"/><Relationship Id="rId1" Type="http://schemas.openxmlformats.org/officeDocument/2006/relationships/hyperlink" Target="https://github.com/BredaUniversityADSAI/2024-25A-FAI1-ADSAI--MaksBurchard240894/blob/783af428b849800147f78fc312a9406b5a83d3d5/Block%20A/9.%20Taxonomy%20of%20AI%20II%20%26%20State-of-the-Art%20AI%202b.png" TargetMode="External"/><Relationship Id="rId6" Type="http://schemas.openxmlformats.org/officeDocument/2006/relationships/hyperlink" Target="https://github.com/BredaUniversityADSAI/2024-25A-FAI1-ADSAI--MaksBurchard240894/blob/ad5854d0c54dc2b5a7182d65a12404889949059b/Study%20Content/Artificial%20Intelligence/6.%20DataLab%201%20Creative%20Brief%20%26%20Turing%20Test.pdf" TargetMode="External"/><Relationship Id="rId23" Type="http://schemas.openxmlformats.org/officeDocument/2006/relationships/hyperlink" Target="https://github.com/BredaUniversityADSAI/2024-25A-FAI1-ADSAI--MaksBurchard240894/tree/1c176cf782450a7e11dc8a158a58796e2858d72c/Block%20A/FeedbackForMe" TargetMode="External"/><Relationship Id="rId28" Type="http://schemas.openxmlformats.org/officeDocument/2006/relationships/hyperlink" Target="https://github.com/BredaUniversityADSAI/2024-25A-FAI1-ADSAI--MaksBurchard240894/blob/1c176cf782450a7e11dc8a158a58796e2858d72c/Study%20Content/Artificial%20Intelligence/1.%20Philosophy%20AI%20%26%20Information%20Literacy.pdf" TargetMode="External"/><Relationship Id="rId49" Type="http://schemas.openxmlformats.org/officeDocument/2006/relationships/hyperlink" Target="https://github.com/BredaUniversityADSAI/2024-25A-FAI1-ADSAI--MaksBurchard240894/blob/7cede706ac94da29bef69c5b2d9a627b11fc84ab/Study%20Content/Data%20Science/Week%204%20Day%202%20(Tuesday)/240894_MaksBurchard_DataLab1_1_1.pbix" TargetMode="External"/><Relationship Id="rId114" Type="http://schemas.openxmlformats.org/officeDocument/2006/relationships/hyperlink" Target="https://github.com/BredaUniversityADSAI/2024-25A-FAI1-ADSAI--MaksBurchard240894/blob/c8fc2141a244e039dad27e2dd568d49e7d1f067e/Study%20Content/Data%20Science/Week%207%20Day%201%20(Monday)/Certificate%20_%20Zooniverse_Maks_Burchard.pdf" TargetMode="External"/><Relationship Id="rId119" Type="http://schemas.openxmlformats.org/officeDocument/2006/relationships/hyperlink" Target="https://github.com/BredaUniversityADSAI/2024-25A-FAI1-ADSAI--MaksBurchard240894/blob/2ae3f576392d9706e6ea6e2210835965cbc6e04f/Study%20Content/Data%20Science/Week%208%20Day%201%20(Monday)/Microsoft%20Learn%20-%20Optimize%20a%20model%20for%20performance%20in%20Power%20BI.pdf" TargetMode="External"/><Relationship Id="rId44" Type="http://schemas.openxmlformats.org/officeDocument/2006/relationships/hyperlink" Target="https://github.com/BredaUniversityADSAI/2024-25A-FAI1-ADSAI--MaksBurchard240894/blob/d2b496e88a4ee3c1850650de1206e7613dbd0d85/Study%20Content/Data%20Science/Week%204%20Day%201%20(Monday)/240894_MaksBurchard_Week4DataLab1_1.pdf" TargetMode="External"/><Relationship Id="rId60" Type="http://schemas.openxmlformats.org/officeDocument/2006/relationships/hyperlink" Target="https://github.com/BredaUniversityADSAI/2024-25A-FAI1-ADSAI--MaksBurchard240894/blob/ad049761820c795bcd83f412384c9fff18011512/Deliverables/Prerequisites/Worklog%20Y1A%20ADSAI%202024-2025.xlsx" TargetMode="External"/><Relationship Id="rId65" Type="http://schemas.openxmlformats.org/officeDocument/2006/relationships/hyperlink" Target="https://github.com/BredaUniversityADSAI/2024-25A-FAI1-ADSAI--MaksBurchard240894/blob/ad049761820c795bcd83f412384c9fff18011512/Study%20Content/Data%20Science/Week%204%20Day%203%20(Wednesday)/PowerBI%20Data%20Tutorial.pbix" TargetMode="External"/><Relationship Id="rId81" Type="http://schemas.openxmlformats.org/officeDocument/2006/relationships/hyperlink" Target="https://github.com/BredaUniversityADSAI/2024-25A-FAI1-ADSAI--MaksBurchard240894/blob/0e8196f7f7e1375f6186a665aa0a8f0317c8e346/Block%20A/Introduction%20to%20Data%20Science/Power%20BI%20Progression/SDG_Dashboard_4%20(Testing%20Time).pbix" TargetMode="External"/><Relationship Id="rId86" Type="http://schemas.openxmlformats.org/officeDocument/2006/relationships/hyperlink" Target="https://github.com/BredaUniversityADSAI/2024-25A-FAI1-ADSAI--MaksBurchard240894/blob/0e8196f7f7e1375f6186a665aa0a8f0317c8e346/Study%20Content/Data%20Science/Week%205%20Day%205%20(Friday)/Questions%20%26%20Subquestions.txt" TargetMode="External"/><Relationship Id="rId130" Type="http://schemas.openxmlformats.org/officeDocument/2006/relationships/hyperlink" Target="https://github.com/BredaUniversityADSAI/2024-25A-FAI1-ADSAI--MaksBurchard240894/blob/14500c2db919b47ed979ea62a8b6f96f7a9de1e7/Study%20Content/Data%20Science/Week%208%20Day%202%20(Tuesday)/dashboard_Jim.pbix" TargetMode="External"/><Relationship Id="rId135" Type="http://schemas.openxmlformats.org/officeDocument/2006/relationships/hyperlink" Target="https://github.com/BredaUniversityADSAI/2024-25A-FAI1-ADSAI--MaksBurchard240894/blob/14500c2db919b47ed979ea62a8b6f96f7a9de1e7/Block%20A/Introduction%20to%20Data%20Science/Power%20BI%20Progression/SDG-Dashboard_15%20(Week%208%20Tuesday%20II).pbix" TargetMode="External"/><Relationship Id="rId13" Type="http://schemas.openxmlformats.org/officeDocument/2006/relationships/hyperlink" Target="https://github.com/BredaUniversityADSAI/2024-25A-FAI1-ADSAI--MaksBurchard240894/tree/6b873c86d8d96e9ac32c8d0d9b388c844c4415e4/Block%20A/ILO%203.1%20Sources/Facial%20Recognition" TargetMode="External"/><Relationship Id="rId18" Type="http://schemas.openxmlformats.org/officeDocument/2006/relationships/hyperlink" Target="https://github.com/BredaUniversityADSAI/2024-25A-FAI1-ADSAI--MaksBurchard240894/blob/0576af4cf749f03d46a7670764dd6460dbedc51b/Block%20A/Personalized%20Advertisements.pptx" TargetMode="External"/><Relationship Id="rId39" Type="http://schemas.openxmlformats.org/officeDocument/2006/relationships/hyperlink" Target="https://github.com/BredaUniversityADSAI/2024-25A-FAI1-ADSAI--MaksBurchard240894/blob/35cdcd684d815f05e261508f0ab98b67ae74377c/Deliverables/Prerequisites/Worklog%20Y1A%20ADSAI%202024-2025.xlsx" TargetMode="External"/><Relationship Id="rId109" Type="http://schemas.openxmlformats.org/officeDocument/2006/relationships/hyperlink" Target="https://github.com/BredaUniversityADSAI/2024-25A-FAI1-ADSAI--MaksBurchard240894/blob/5b3620eaad19f32575e3ec4df081e0a077489587/Study%20Content/Data%20Science/Week%207%20Day%201%20(Monday)/Conclusion%20(Tuesday).txt" TargetMode="External"/><Relationship Id="rId34" Type="http://schemas.openxmlformats.org/officeDocument/2006/relationships/hyperlink" Target="https://github.com/BredaUniversityADSAI/2024-25A-FAI1-ADSAI--MaksBurchard240894/blob/35cdcd684d815f05e261508f0ab98b67ae74377c/Deliverables/Task%201%20(Presentation%20on%20AI%20in%20Science%20Fiction)/Personalized%20Advertisements%202.pdf" TargetMode="External"/><Relationship Id="rId50" Type="http://schemas.openxmlformats.org/officeDocument/2006/relationships/hyperlink" Target="https://github.com/BredaUniversityADSAI/2024-25A-FAI1-ADSAI--MaksBurchard240894/blob/ba4a7dd5e2410d3ab1e5ab4b7e521cdcbc3e72e1/Study%20Content/Data%20Science/Week%204%20Day%202%20(Tuesday)/DataLab_00_SDG_Indicators%20(3).txt" TargetMode="External"/><Relationship Id="rId55" Type="http://schemas.openxmlformats.org/officeDocument/2006/relationships/hyperlink" Target="https://github.com/BredaUniversityADSAI/2024-25A-FAI1-ADSAI--MaksBurchard240894/blob/ce2ea21bdeeb7399b1880dba204ac7fe84a4c498/Study%20Content/Data%20Science/Week%204%20Day%202%20(Tuesday)/SDGs.txt" TargetMode="External"/><Relationship Id="rId76" Type="http://schemas.openxmlformats.org/officeDocument/2006/relationships/hyperlink" Target="https://github.com/BredaUniversityADSAI/2024-25A-FAI1-ADSAI--MaksBurchard240894/blob/67a89d45d222139e2f0cd51b855a89650717579a/Deliverables/Prerequisites/Learning%20Log%20Y1A%20ADSAI%202024-2025.pptx" TargetMode="External"/><Relationship Id="rId97" Type="http://schemas.openxmlformats.org/officeDocument/2006/relationships/hyperlink" Target="https://github.com/BredaUniversityADSAI/2024-25A-FAI1-ADSAI--MaksBurchard240894/blob/a653fcda13ee8024a0e56067acbffbc5f93df637/Study%20Content/Data%20Science/Week%206%20Day%205%20(Friday)/Recommendations%20for%20Future%20Analyses%20%26%20Data-driven%20Decisions.txt" TargetMode="External"/><Relationship Id="rId104" Type="http://schemas.openxmlformats.org/officeDocument/2006/relationships/hyperlink" Target="https://github.com/BredaUniversityADSAI/2024-25A-FAI1-ADSAI--MaksBurchard240894/blob/9b2f2eb9beebbdd1eee69c22ba58e1e5d4ef679a/Study%20Content/Data%20Science/Week%207%20Day%201%20(Monday)/To%20Explain%20or%20to%20Predict%20-%20Galit%20Shmueli.pdf" TargetMode="External"/><Relationship Id="rId120" Type="http://schemas.openxmlformats.org/officeDocument/2006/relationships/hyperlink" Target="https://github.com/BredaUniversityADSAI/2024-25A-FAI1-ADSAI--MaksBurchard240894/blob/2ae3f576392d9706e6ea6e2210835965cbc6e04f/Study%20Content/Data%20Science/Week%208%20Day%201%20(Monday)/Microsoft%20Learn%20-%20Describe%20Power%20BI%20Desktop%20models.pdf" TargetMode="External"/><Relationship Id="rId125" Type="http://schemas.openxmlformats.org/officeDocument/2006/relationships/hyperlink" Target="https://github.com/BredaUniversityADSAI/2024-25A-FAI1-ADSAI--MaksBurchard240894/blob/2ae3f576392d9706e6ea6e2210835965cbc6e04f/Study%20Content/Data%20Science/Week%208%20Day%201%20(Monday)/Microsoft%20Learn%20-%20Add%20measures%20to%20Power%20BI%20Desktop%20models.pdf" TargetMode="External"/><Relationship Id="rId141" Type="http://schemas.openxmlformats.org/officeDocument/2006/relationships/hyperlink" Target="https://github.com/BredaUniversityADSAI/2024-25A-FAI1-ADSAI--MaksBurchard240894/blob/fc3261285238acafefb698a2011c65aa84a60c4a/Deliverables/Task%202-7%20(Dashboard)/SDG-Dashboard_Final.pbix" TargetMode="External"/><Relationship Id="rId146" Type="http://schemas.openxmlformats.org/officeDocument/2006/relationships/hyperlink" Target="https://github.com/BredaUniversityADSAI/2024-25A-FAI1-ADSAI--MaksBurchard240894/blob/98f19f8513fc675aaa4f1ea36ed4683bd4c11bc3/Deliverables/Prerequisites/Worklog%20Y1A%20ADSAI%202024-2025.xlsx" TargetMode="External"/><Relationship Id="rId7" Type="http://schemas.openxmlformats.org/officeDocument/2006/relationships/hyperlink" Target="https://github.com/BredaUniversityADSAI/2024-25A-FAI1-ADSAI--MaksBurchard240894/blob/ad5854d0c54dc2b5a7182d65a12404889949059b/Study%20Content/Artificial%20Intelligence/6.%20DataLab%201%20Creative%20Brief%20%26%20Turing%20Test.pdf" TargetMode="External"/><Relationship Id="rId71" Type="http://schemas.openxmlformats.org/officeDocument/2006/relationships/hyperlink" Target="https://github.com/BredaUniversityADSAI/2024-25A-FAI1-ADSAI--MaksBurchard240894/blob/a9e3e4dc9bf47b57a0a7f3ec6b55555a6349f814/Study%20Content/Data%20Science/Week%204%20Day%205%20(Friday)/Data%20Preparation%20in%20Power%20Bi.pdf" TargetMode="External"/><Relationship Id="rId92" Type="http://schemas.openxmlformats.org/officeDocument/2006/relationships/hyperlink" Target="https://github.com/BredaUniversityADSAI/2024-25A-FAI1-ADSAI--MaksBurchard240894/blob/28077d31e55b3d90e3f96977192ac1ed64eca36d/Study%20Content/Data%20Science/Week%206%20Day%202%20(Tuesday)/Dashboard%20Description.txt" TargetMode="External"/><Relationship Id="rId2" Type="http://schemas.openxmlformats.org/officeDocument/2006/relationships/hyperlink" Target="https://github.com/BredaUniversityADSAI/2024-25A-FAI1-ADSAI--MaksBurchard240894/blob/ad5854d0c54dc2b5a7182d65a12404889949059b/Study%20Content/Mathematics/Algebra%201%20(Week%202%2C%20Monday).pdf" TargetMode="External"/><Relationship Id="rId29" Type="http://schemas.openxmlformats.org/officeDocument/2006/relationships/hyperlink" Target="https://github.com/BredaUniversityADSAI/2024-25A-FAI1-ADSAI--MaksBurchard240894/blob/1c176cf782450a7e11dc8a158a58796e2858d72c/Study%20Content/Artificial%20Intelligence/1.%20Philosophy%20AI%20%26%20Information%20Literacy.pdf" TargetMode="External"/><Relationship Id="rId24" Type="http://schemas.openxmlformats.org/officeDocument/2006/relationships/hyperlink" Target="https://github.com/BredaUniversityADSAI/2024-25A-FAI1-ADSAI--MaksBurchard240894/tree/1c176cf782450a7e11dc8a158a58796e2858d72c/Block%20A/Not%20Proof/FeedbackByMe" TargetMode="External"/><Relationship Id="rId40" Type="http://schemas.openxmlformats.org/officeDocument/2006/relationships/hyperlink" Target="https://github.com/BredaUniversityADSAI/2024-25A-FAI1-ADSAI--MaksBurchard240894/blob/35cdcd684d815f05e261508f0ab98b67ae74377c/Deliverables/Prerequisites/Learning%20Log%20Y1A%20ADSAI%202024-2025.pptx" TargetMode="External"/><Relationship Id="rId45" Type="http://schemas.openxmlformats.org/officeDocument/2006/relationships/hyperlink" Target="https://github.com/BredaUniversityADSAI/2024-25A-FAI1-ADSAI--MaksBurchard240894/commit/d2b496e88a4ee3c1850650de1206e7613dbd0d85" TargetMode="External"/><Relationship Id="rId66" Type="http://schemas.openxmlformats.org/officeDocument/2006/relationships/hyperlink" Target="https://github.com/BredaUniversityADSAI/2024-25A-FAI1-ADSAI--MaksBurchard240894/blob/ad049761820c795bcd83f412384c9fff18011512/Study%20Content/Data%20Science/Week%204%20Day%203%20(Wednesday)/VariablesDatalabPreparation.pbix" TargetMode="External"/><Relationship Id="rId87" Type="http://schemas.openxmlformats.org/officeDocument/2006/relationships/hyperlink" Target="https://github.com/BredaUniversityADSAI/2024-25A-FAI1-ADSAI--MaksBurchard240894/blob/0e8196f7f7e1375f6186a665aa0a8f0317c8e346/Study%20Content/Data%20Science/Week%204%20Day%205%20(Friday)/CRISP_DM_Maks_Burchard.docx" TargetMode="External"/><Relationship Id="rId110" Type="http://schemas.openxmlformats.org/officeDocument/2006/relationships/hyperlink" Target="https://github.com/BredaUniversityADSAI/2024-25A-FAI1-ADSAI--MaksBurchard240894/tree/de9e979c13c794ccceb296486ad3026f65d7b2fb/Deliverables/Week%209%20%26%2010%20Challenges/Hackathon" TargetMode="External"/><Relationship Id="rId115" Type="http://schemas.openxmlformats.org/officeDocument/2006/relationships/hyperlink" Target="https://github.com/BredaUniversityADSAI/2024-25A-FAI1-ADSAI--MaksBurchard240894/blob/2ae3f576392d9706e6ea6e2210835965cbc6e04f/Deliverables/Prerequisites/Learning%20Log%20Y1A%20ADSAI%202024-2025.pptx" TargetMode="External"/><Relationship Id="rId131" Type="http://schemas.openxmlformats.org/officeDocument/2006/relationships/hyperlink" Target="https://github.com/BredaUniversityADSAI/2024-25A-FAI1-ADSAI--MaksBurchard240894/blob/14500c2db919b47ed979ea62a8b6f96f7a9de1e7/Study%20Content/Data%20Science/Week%208%20Day%202%20(Tuesday)/europe2024_guidebook.pdf" TargetMode="External"/><Relationship Id="rId136" Type="http://schemas.openxmlformats.org/officeDocument/2006/relationships/hyperlink" Target="https://github.com/BredaUniversityADSAI/2024-25A-FAI1-ADSAI--MaksBurchard240894/blob/14500c2db919b47ed979ea62a8b6f96f7a9de1e7/Deliverables/Prerequisites/Learning%20Log%20Y1A%20ADSAI%202024-2025.pptx" TargetMode="External"/><Relationship Id="rId61" Type="http://schemas.openxmlformats.org/officeDocument/2006/relationships/hyperlink" Target="https://github.com/BredaUniversityADSAI/2024-25A-FAI1-ADSAI--MaksBurchard240894/blob/ad049761820c795bcd83f412384c9fff18011512/Study%20Content/Mathematics/Algebra%203%20(Week%204%2C%20Monday).txt" TargetMode="External"/><Relationship Id="rId82" Type="http://schemas.openxmlformats.org/officeDocument/2006/relationships/hyperlink" Target="https://github.com/BredaUniversityADSAI/2024-25A-FAI1-ADSAI--MaksBurchard240894/blob/0e8196f7f7e1375f6186a665aa0a8f0317c8e346/Deliverables/Prerequisites/Learning%20Log%20Y1A%20ADSAI%202024-2025.pptx" TargetMode="External"/><Relationship Id="rId19" Type="http://schemas.openxmlformats.org/officeDocument/2006/relationships/hyperlink" Target="https://github.com/BredaUniversityADSAI/2024-25A-FAI1-ADSAI--MaksBurchard240894/blob/1c176cf782450a7e11dc8a158a58796e2858d72c/Study%20Content/Mathematics/Algebra%202%20(Week%203%2C%20Monday).pdf" TargetMode="External"/><Relationship Id="rId14" Type="http://schemas.openxmlformats.org/officeDocument/2006/relationships/hyperlink" Target="https://github.com/BredaUniversityADSAI/2024-25A-FAI1-ADSAI--MaksBurchard240894/blob/0a2d6fbbb994fb55e5e426f5a76723a7f2441b9e/Study%20Content/Artificial%20Intelligence/10.%20DataLab%20I%20Creative%20Brief.pdf" TargetMode="External"/><Relationship Id="rId30" Type="http://schemas.openxmlformats.org/officeDocument/2006/relationships/hyperlink" Target="https://github.com/BredaUniversityADSAI/2024-25A-FAI1-ADSAI--MaksBurchard240894/blob/1c176cf782450a7e11dc8a158a58796e2858d72c/Study%20Content/Artificial%20Intelligence/2.%20DataLab%201%20Creative%20Brief.pdf" TargetMode="External"/><Relationship Id="rId35" Type="http://schemas.openxmlformats.org/officeDocument/2006/relationships/hyperlink" Target="https://github.com/BredaUniversityADSAI/2024-25A-FAI1-ADSAI--MaksBurchard240894/blob/92c1dea6ac32f6000bce3a13319deabec641c40c/Deliverables/Task%201%20(Presentation%20on%20AI%20in%20Science%20Fiction)/AI%20in%20SciFic%20Presentation-Maks-Burchard(240894).mp4" TargetMode="External"/><Relationship Id="rId56" Type="http://schemas.openxmlformats.org/officeDocument/2006/relationships/hyperlink" Target="https://github.com/BredaUniversityADSAI/2024-25A-FAI1-ADSAI--MaksBurchard240894/tree/ce2ea21bdeeb7399b1880dba204ac7fe84a4c498/Block%20A/Introduction%20to%20Data%20Science/Not%20Proof/SDG%20Info" TargetMode="External"/><Relationship Id="rId77" Type="http://schemas.openxmlformats.org/officeDocument/2006/relationships/hyperlink" Target="https://github.com/BredaUniversityADSAI/2024-25A-FAI1-ADSAI--MaksBurchard240894/blob/6594f2f6e6e3fa8d4fa7bbaaa878edf82a7e4891/Study%20Content/Mathematics/Algebra%203%20(Week%204%2C%20Monday).png" TargetMode="External"/><Relationship Id="rId100" Type="http://schemas.openxmlformats.org/officeDocument/2006/relationships/hyperlink" Target="https://github.com/BredaUniversityADSAI/2024-25A-FAI1-ADSAI--MaksBurchard240894/blob/a653fcda13ee8024a0e56067acbffbc5f93df637/Block%20A/Medal%20Challenges/Bronze/DS%20Team%20Roles.txt" TargetMode="External"/><Relationship Id="rId105" Type="http://schemas.openxmlformats.org/officeDocument/2006/relationships/hyperlink" Target="https://github.com/BredaUniversityADSAI/2024-25A-FAI1-ADSAI--MaksBurchard240894/blob/9b2f2eb9beebbdd1eee69c22ba58e1e5d4ef679a/Study%20Content/Data%20Science/Week%207%20Day%201%20(Monday)/Voltooiingscertificaat_Data%20Science%20Foundations%20Fundamentals%202019%20LinkedIn.pdf" TargetMode="External"/><Relationship Id="rId126" Type="http://schemas.openxmlformats.org/officeDocument/2006/relationships/hyperlink" Target="https://github.com/BredaUniversityADSAI/2024-25A-FAI1-ADSAI--MaksBurchard240894/blob/2ae3f576392d9706e6ea6e2210835965cbc6e04f/Study%20Content/Data%20Science/Week%208%20Day%201%20(Monday)/Microsoft%20Learn%20-%20Add%20calculated%20tables%20and%20columns%20to%20Power%20BI%20Desktop%20models.pdf" TargetMode="External"/><Relationship Id="rId147" Type="http://schemas.openxmlformats.org/officeDocument/2006/relationships/hyperlink" Target="https://github.com/BredaUniversityADSAI/2024-25A-FAI1-ADSAI--MaksBurchard240894/blob/98f19f8513fc675aaa4f1ea36ed4683bd4c11bc3/Deliverables/Prerequisites/Self%20Assessment%20Rubric%20Y1A%20ADSAI%202024-2025.xlsx" TargetMode="External"/><Relationship Id="rId8" Type="http://schemas.openxmlformats.org/officeDocument/2006/relationships/hyperlink" Target="https://github.com/BredaUniversityADSAI/2024-25A-FAI1-ADSAI--MaksBurchard240894/blob/ad5854d0c54dc2b5a7182d65a12404889949059b/Jupyter%20Notebooks/2023-24-Y1-BlockA-Python-main/3.%20Functions.ipynb" TargetMode="External"/><Relationship Id="rId51" Type="http://schemas.openxmlformats.org/officeDocument/2006/relationships/hyperlink" Target="https://github.com/BredaUniversityADSAI/2024-25A-FAI1-ADSAI--MaksBurchard240894/blob/ba4a7dd5e2410d3ab1e5ab4b7e521cdcbc3e72e1/Study%20Content/Data%20Science/Week%204%20Day%202%20(Tuesday)/DataLab_00_SDG_Indicators%20(3).txt" TargetMode="External"/><Relationship Id="rId72" Type="http://schemas.openxmlformats.org/officeDocument/2006/relationships/hyperlink" Target="https://github.com/BredaUniversityADSAI/2024-25A-FAI1-ADSAI--MaksBurchard240894/blob/a9e3e4dc9bf47b57a0a7f3ec6b55555a6349f814/Deliverables/Prerequisites/Learning%20Log%20Y1A%20ADSAI%202024-2025.pptx" TargetMode="External"/><Relationship Id="rId93" Type="http://schemas.openxmlformats.org/officeDocument/2006/relationships/hyperlink" Target="https://github.com/BredaUniversityADSAI/2024-25A-FAI1-ADSAI--MaksBurchard240894/blob/28077d31e55b3d90e3f96977192ac1ed64eca36d/Study%20Content/Data%20Science/Week%206%20Day%202%20(Tuesday)/Thinking%2C_Fast_and_Slow.pdf" TargetMode="External"/><Relationship Id="rId98" Type="http://schemas.openxmlformats.org/officeDocument/2006/relationships/hyperlink" Target="https://github.com/BredaUniversityADSAI/2024-25A-FAI1-ADSAI--MaksBurchard240894/tree/a653fcda13ee8024a0e56067acbffbc5f93df637/Study%20Content/Mathematics/Documents" TargetMode="External"/><Relationship Id="rId121" Type="http://schemas.openxmlformats.org/officeDocument/2006/relationships/hyperlink" Target="https://github.com/BredaUniversityADSAI/2024-25A-FAI1-ADSAI--MaksBurchard240894/blob/2ae3f576392d9706e6ea6e2210835965cbc6e04f/Study%20Content/Data%20Science/Week%208%20Day%201%20(Monday)/Microsoft%20Learn%20-%20Choose%20a%20Power%20BI%20model%20framework.pdf" TargetMode="External"/><Relationship Id="rId142" Type="http://schemas.openxmlformats.org/officeDocument/2006/relationships/hyperlink" Target="https://github.com/BredaUniversityADSAI/2024-25A-FAI1-ADSAI--MaksBurchard240894/blob/fc3261285238acafefb698a2011c65aa84a60c4a/Deliverables/Task%202-7%20(Dashboard)/SDG-Dashboard_Final.pbix" TargetMode="External"/><Relationship Id="rId3" Type="http://schemas.openxmlformats.org/officeDocument/2006/relationships/hyperlink" Target="https://github.com/BredaUniversityADSAI/2024-25A-FAI1-ADSAI--MaksBurchard240894/blob/ad5854d0c54dc2b5a7182d65a12404889949059b/Study%20Content/Artificial%20Intelligence/9.%20Taxonomy%20of%20AI%20II%20%26%20State-of-the-Art%20AI.txt" TargetMode="External"/><Relationship Id="rId25" Type="http://schemas.openxmlformats.org/officeDocument/2006/relationships/hyperlink" Target="https://github.com/BredaUniversityADSAI/2024-25A-FAI1-ADSAI--MaksBurchard240894/blob/1c176cf782450a7e11dc8a158a58796e2858d72c/Block%20A/Dartmouth%20Workshop.pptx" TargetMode="External"/><Relationship Id="rId46" Type="http://schemas.openxmlformats.org/officeDocument/2006/relationships/hyperlink" Target="https://github.com/BredaUniversityADSAI/2024-25A-FAI1-ADSAI--MaksBurchard240894/blob/32bb9b5a3ab2cc6fe049adc6233d307d3ae5e7bf/Deliverables/Prerequisites/Worklog%20Y1A%20ADSAI%202024-2025.xlsx" TargetMode="External"/><Relationship Id="rId67" Type="http://schemas.openxmlformats.org/officeDocument/2006/relationships/hyperlink" Target="https://github.com/BredaUniversityADSAI/2024-25A-FAI1-ADSAI--MaksBurchard240894/blob/ad049761820c795bcd83f412384c9fff18011512/Deliverables/Prerequisites/Learning%20Log%20Y1A%20ADSAI%202024-2025.pptx" TargetMode="External"/><Relationship Id="rId116" Type="http://schemas.openxmlformats.org/officeDocument/2006/relationships/hyperlink" Target="https://github.com/BredaUniversityADSAI/2024-25A-FAI1-ADSAI--MaksBurchard240894/blob/2ae3f576392d9706e6ea6e2210835965cbc6e04f/Deliverables/Prerequisites/Worklog%20Y1A%20ADSAI%202024-2025.xlsx" TargetMode="External"/><Relationship Id="rId137" Type="http://schemas.openxmlformats.org/officeDocument/2006/relationships/hyperlink" Target="https://github.com/BredaUniversityADSAI/2024-25A-FAI1-ADSAI--MaksBurchard240894/blob/14500c2db919b47ed979ea62a8b6f96f7a9de1e7/Deliverables/Prerequisites/Learning%20Log%20Y1A%20ADSAI%202024-2025.pptx" TargetMode="External"/><Relationship Id="rId20" Type="http://schemas.openxmlformats.org/officeDocument/2006/relationships/hyperlink" Target="https://github.com/BredaUniversityADSAI/2024-25A-FAI1-ADSAI--MaksBurchard240894/tree/1c176cf782450a7e11dc8a158a58796e2858d72c/Block%20A/FeedbackForMe" TargetMode="External"/><Relationship Id="rId41" Type="http://schemas.openxmlformats.org/officeDocument/2006/relationships/hyperlink" Target="https://github.com/BredaUniversityADSAI/2024-25A-FAI1-ADSAI--MaksBurchard240894/blob/d2b496e88a4ee3c1850650de1206e7613dbd0d85/Deliverables/Prerequisites/Worklog%20Y1A%20ADSAI%202024-2025.xlsx" TargetMode="External"/><Relationship Id="rId62" Type="http://schemas.openxmlformats.org/officeDocument/2006/relationships/hyperlink" Target="https://github.com/BredaUniversityADSAI/2024-25A-FAI1-ADSAI--MaksBurchard240894/blob/ad049761820c795bcd83f412384c9fff18011512/Study%20Content/Mathematics/Algebra%203%20(Week%204%2C%20Monday).pdf" TargetMode="External"/><Relationship Id="rId83" Type="http://schemas.openxmlformats.org/officeDocument/2006/relationships/hyperlink" Target="https://github.com/BredaUniversityADSAI/2024-25A-FAI1-ADSAI--MaksBurchard240894/blob/0e8196f7f7e1375f6186a665aa0a8f0317c8e346/Study%20Content/Data%20Science/Week%205%20Day%203%20(Wednesday)/Voltooiingscertificaat_Learning%20Data%20Science%20Tell%20Stories%20With%20Data.pdf" TargetMode="External"/><Relationship Id="rId88" Type="http://schemas.openxmlformats.org/officeDocument/2006/relationships/hyperlink" Target="https://github.com/BredaUniversityADSAI/2024-25A-FAI1-ADSAI--MaksBurchard240894/blob/0e8196f7f7e1375f6186a665aa0a8f0317c8e346/Block%20A/Introduction%20to%20Data%20Science/Power%20BI%20Progression/SDG_Dashboard_5%20(W5%20Friday%20III%20(Findings%20II)).pbix" TargetMode="External"/><Relationship Id="rId111" Type="http://schemas.openxmlformats.org/officeDocument/2006/relationships/hyperlink" Target="https://github.com/BredaUniversityADSAI/2024-25A-FAI1-ADSAI--MaksBurchard240894/blob/a58d9c678541d8b6146c81875b2150790e270970/Study%20Content/Data%20Science/Week%207%20Day%201%20(Monday)/DataCamp%20User-Oriented%20Deisgn%20in%20Power%20BI.pdf" TargetMode="External"/><Relationship Id="rId132" Type="http://schemas.openxmlformats.org/officeDocument/2006/relationships/hyperlink" Target="https://github.com/BredaUniversityADSAI/2024-25A-FAI1-ADSAI--MaksBurchard240894/blob/14500c2db919b47ed979ea62a8b6f96f7a9de1e7/Block%20A/Week%209%20%26%2010%20Challenges/Zooniverse/Certificate%20_%20Zooniverse_Maks_Burchard_2.pdf" TargetMode="External"/><Relationship Id="rId15" Type="http://schemas.openxmlformats.org/officeDocument/2006/relationships/hyperlink" Target="https://github.com/BredaUniversityADSAI/2024-25A-FAI1-ADSAI--MaksBurchard240894/blob/0a2d6fbbb994fb55e5e426f5a76723a7f2441b9e/Deliverables/Worklog%20Y1A%20ADSAI%202024-2025.xlsx" TargetMode="External"/><Relationship Id="rId36" Type="http://schemas.openxmlformats.org/officeDocument/2006/relationships/hyperlink" Target="https://github.com/BredaUniversityADSAI/2024-25A-FAI1-ADSAI--MaksBurchard240894/blob/35cdcd684d815f05e261508f0ab98b67ae74377c/Deliverables/Prerequisites/Learning%20Log%20Y1A%20ADSAI%202024-2025.pptx" TargetMode="External"/><Relationship Id="rId57" Type="http://schemas.openxmlformats.org/officeDocument/2006/relationships/hyperlink" Target="https://github.com/BredaUniversityADSAI/2024-25A-FAI1-ADSAI--MaksBurchard240894/blob/724951fe653dc3304798c871afa5990d2938175c/Deliverables/Prerequisites/Worklog%20Y1A%20ADSAI%202024-2025.xlsx" TargetMode="External"/><Relationship Id="rId106" Type="http://schemas.openxmlformats.org/officeDocument/2006/relationships/hyperlink" Target="https://github.com/BredaUniversityADSAI/2024-25A-FAI1-ADSAI--MaksBurchard240894/blob/9b2f2eb9beebbdd1eee69c22ba58e1e5d4ef679a/Study%20Content/Data%20Science/Week%207%20Day%201%20(Monday)/DataCamp%20Report%20Design%20in%20Power%20BI.pdf" TargetMode="External"/><Relationship Id="rId127" Type="http://schemas.openxmlformats.org/officeDocument/2006/relationships/hyperlink" Target="https://github.com/BredaUniversityADSAI/2024-25A-FAI1-ADSAI--MaksBurchard240894/blob/2ae3f576392d9706e6ea6e2210835965cbc6e04f/Study%20Content/Data%20Science/Week%208%20Day%201%20(Monday)/Dashboard%20Improvements.txt" TargetMode="External"/><Relationship Id="rId10" Type="http://schemas.openxmlformats.org/officeDocument/2006/relationships/hyperlink" Target="https://github.com/BredaUniversityADSAI/2024-25A-FAI1-ADSAI--MaksBurchard240894/blob/ad5854d0c54dc2b5a7182d65a12404889949059b/Study%20Content/Artificial%20Intelligence/7.%20Taxonomy%20of%20AI%20I.pdf" TargetMode="External"/><Relationship Id="rId31" Type="http://schemas.openxmlformats.org/officeDocument/2006/relationships/hyperlink" Target="https://github.com/BredaUniversityADSAI/2024-25A-FAI1-ADSAI--MaksBurchard240894/tree/main" TargetMode="External"/><Relationship Id="rId52" Type="http://schemas.openxmlformats.org/officeDocument/2006/relationships/hyperlink" Target="https://github.com/BredaUniversityADSAI/2024-25A-FAI1-ADSAI--MaksBurchard240894/blob/ba4a7dd5e2410d3ab1e5ab4b7e521cdcbc3e72e1/Deliverables/Prerequisites/Learning%20Log%20Y1A%20ADSAI%202024-2025.pptx" TargetMode="External"/><Relationship Id="rId73" Type="http://schemas.openxmlformats.org/officeDocument/2006/relationships/hyperlink" Target="https://github.com/BredaUniversityADSAI/2024-25A-FAI1-ADSAI--MaksBurchard240894/blob/a9e3e4dc9bf47b57a0a7f3ec6b55555a6349f814/Study%20Content/Data%20Science/Week%204%20Day%203%20(Wednesday)/VariablesDatalabPreparation.pbix" TargetMode="External"/><Relationship Id="rId78" Type="http://schemas.openxmlformats.org/officeDocument/2006/relationships/hyperlink" Target="https://github.com/BredaUniversityADSAI/2024-25A-FAI1-ADSAI--MaksBurchard240894/blob/0e8196f7f7e1375f6186a665aa0a8f0317c8e346/Deliverables/Prerequisites/Worklog%20Y1A%20ADSAI%202024-2025.xlsx" TargetMode="External"/><Relationship Id="rId94" Type="http://schemas.openxmlformats.org/officeDocument/2006/relationships/hyperlink" Target="https://github.com/BredaUniversityADSAI/2024-25A-FAI1-ADSAI--MaksBurchard240894/blob/28077d31e55b3d90e3f96977192ac1ed64eca36d/Study%20Content/Data%20Science/Week%204%20Day%205%20(Friday)/CRISP_DM_Maks_Burchard.docx" TargetMode="External"/><Relationship Id="rId99" Type="http://schemas.openxmlformats.org/officeDocument/2006/relationships/hyperlink" Target="https://github.com/BredaUniversityADSAI/2024-25A-FAI1-ADSAI--MaksBurchard240894/tree/a653fcda13ee8024a0e56067acbffbc5f93df637/Block%20A/Medal%20Challenges/Bronze/Sources" TargetMode="External"/><Relationship Id="rId101" Type="http://schemas.openxmlformats.org/officeDocument/2006/relationships/hyperlink" Target="https://github.com/BredaUniversityADSAI/2024-25A-FAI1-ADSAI--MaksBurchard240894/blob/a653fcda13ee8024a0e56067acbffbc5f93df637/Study%20Content/Data%20Science/Week%206%20Day%205%20(Friday)/Considerations.txt" TargetMode="External"/><Relationship Id="rId122" Type="http://schemas.openxmlformats.org/officeDocument/2006/relationships/hyperlink" Target="https://github.com/BredaUniversityADSAI/2024-25A-FAI1-ADSAI--MaksBurchard240894/blob/2ae3f576392d9706e6ea6e2210835965cbc6e04f/Study%20Content/Data%20Science/Week%208%20Day%201%20(Monday)/Microsoft%20Learn%20-%20Understand%20scalability%20in%20Power%20BI.pdf" TargetMode="External"/><Relationship Id="rId143" Type="http://schemas.openxmlformats.org/officeDocument/2006/relationships/hyperlink" Target="https://github.com/BredaUniversityADSAI/2024-25A-FAI1-ADSAI--MaksBurchard240894/blob/fc3261285238acafefb698a2011c65aa84a60c4a/Block%20A/Introduction%20to%20Data%20Science/Power%20BI%20Progression/SDG-Dashboard_20%20(Finalisation%20III).pbix" TargetMode="External"/><Relationship Id="rId148" Type="http://schemas.openxmlformats.org/officeDocument/2006/relationships/hyperlink" Target="https://github.com/BredaUniversityADSAI/2024-25A-FAI1-ADSAI--MaksBurchard240894/blob/98f19f8513fc675aaa4f1ea36ed4683bd4c11bc3/Deliverables/Prerequisites/Learning%20Log%20Y1A%20ADSAI%202024-2025.pptx" TargetMode="External"/><Relationship Id="rId4" Type="http://schemas.openxmlformats.org/officeDocument/2006/relationships/hyperlink" Target="https://github.com/BredaUniversityADSAI/2024-25A-FAI1-ADSAI--MaksBurchard240894/blob/ad5854d0c54dc2b5a7182d65a12404889949059b/Study%20Content/Artificial%20Intelligence/5.%20Intelligent%20Agents%20%26%20Conversational%20AI.pdf" TargetMode="External"/><Relationship Id="rId9" Type="http://schemas.openxmlformats.org/officeDocument/2006/relationships/hyperlink" Target="https://github.com/BredaUniversityADSAI/2024-25A-FAI1-ADSAI--MaksBurchard240894/blob/ad5854d0c54dc2b5a7182d65a12404889949059b/Jupyter%20Notebooks/2023-24-Y1-BlockA-Python-main/4.%20Loops.ipynb" TargetMode="External"/><Relationship Id="rId26" Type="http://schemas.openxmlformats.org/officeDocument/2006/relationships/hyperlink" Target="https://github.com/BredaUniversityADSAI/2024-25A-FAI1-ADSAI--MaksBurchard240894/blob/1c176cf782450a7e11dc8a158a58796e2858d72c/Block%20A/Dartmouth%20Workshop%20Presentation%20Text.txt" TargetMode="External"/><Relationship Id="rId47" Type="http://schemas.openxmlformats.org/officeDocument/2006/relationships/hyperlink" Target="https://github.com/BredaUniversityADSAI/2024-25A-FAI1-ADSAI--MaksBurchard240894/blob/32bb9b5a3ab2cc6fe049adc6233d307d3ae5e7bf/Deliverables/Prerequisites/Worklog%20Y1A%20ADSAI%202024-2025.xlsx" TargetMode="External"/><Relationship Id="rId68" Type="http://schemas.openxmlformats.org/officeDocument/2006/relationships/hyperlink" Target="https://github.com/BredaUniversityADSAI/2024-25A-FAI1-ADSAI--MaksBurchard240894/blob/ad049761820c795bcd83f412384c9fff18011512/Deliverables/Prerequisites/Learning%20Log%20Y1A%20ADSAI%202024-2025.pptx" TargetMode="External"/><Relationship Id="rId89" Type="http://schemas.openxmlformats.org/officeDocument/2006/relationships/hyperlink" Target="https://github.com/BredaUniversityADSAI/2024-25A-FAI1-ADSAI--MaksBurchard240894/blob/0e8196f7f7e1375f6186a665aa0a8f0317c8e346/Study%20Content/Data%20Science/Week%205%20Day%205%20(Friday)/Observations.txt" TargetMode="External"/><Relationship Id="rId112" Type="http://schemas.openxmlformats.org/officeDocument/2006/relationships/hyperlink" Target="https://github.com/BredaUniversityADSAI/2024-25A-FAI1-ADSAI--MaksBurchard240894/blob/ff8edd5dee67f1dbf7a8c568572d7ee635093f2c/Study%20Content/Data%20Science/Week%207%20Day%201%20(Monday)/Voltooiingscertificaat_Data%20Science%20for%20Java%20Developers.pdf" TargetMode="External"/><Relationship Id="rId133" Type="http://schemas.openxmlformats.org/officeDocument/2006/relationships/hyperlink" Target="https://github.com/BredaUniversityADSAI/2024-25A-FAI1-ADSAI--MaksBurchard240894/blob/14500c2db919b47ed979ea62a8b6f96f7a9de1e7/Study%20Content/Data%20Science/Week%208%20Day%202%20(Tuesday)/dashboard-feedback-Maks.pdf" TargetMode="External"/><Relationship Id="rId16" Type="http://schemas.openxmlformats.org/officeDocument/2006/relationships/hyperlink" Target="https://github.com/BredaUniversityADSAI/2024-25A-FAI1-ADSAI--MaksBurchard240894/blob/0a2d6fbbb994fb55e5e426f5a76723a7f2441b9e/Deliverables/Worklog%20Y1A%20ADSAI%202024-2025.xlsx" TargetMode="External"/><Relationship Id="rId37" Type="http://schemas.openxmlformats.org/officeDocument/2006/relationships/hyperlink" Target="https://github.com/BredaUniversityADSAI/2024-25A-FAI1-ADSAI--MaksBurchard240894/blob/35cdcd684d815f05e261508f0ab98b67ae74377c/Block%20A/ILO%203.1%20Presentation%20Script.docx" TargetMode="External"/><Relationship Id="rId58" Type="http://schemas.openxmlformats.org/officeDocument/2006/relationships/hyperlink" Target="https://github.com/BredaUniversityADSAI/2024-25A-FAI1-ADSAI--MaksBurchard240894/tree/c9ac246f0afaff21a70a2e3e201bfdd963252bcc/Block%20A/Introduction%20to%20Data%20Science/SDG%20Data" TargetMode="External"/><Relationship Id="rId79" Type="http://schemas.openxmlformats.org/officeDocument/2006/relationships/hyperlink" Target="https://github.com/BredaUniversityADSAI/2024-25A-FAI1-ADSAI--MaksBurchard240894/blob/0e8196f7f7e1375f6186a665aa0a8f0317c8e346/Study%20Content/Data%20Science/Week%205%20Day%201%20(Monday)/DataCamp%20course%20-%20Exploratory%20Data%20Analysis%20in%20Power%20BI.pdf" TargetMode="External"/><Relationship Id="rId102" Type="http://schemas.openxmlformats.org/officeDocument/2006/relationships/hyperlink" Target="https://github.com/BredaUniversityADSAI/2024-25A-FAI1-ADSAI--MaksBurchard240894/blob/9b2f2eb9beebbdd1eee69c22ba58e1e5d4ef679a/Deliverables/Prerequisites/Worklog%20Y1A%20ADSAI%202024-2025.xlsx" TargetMode="External"/><Relationship Id="rId123" Type="http://schemas.openxmlformats.org/officeDocument/2006/relationships/hyperlink" Target="https://github.com/BredaUniversityADSAI/2024-25A-FAI1-ADSAI--MaksBurchard240894/blob/2ae3f576392d9706e6ea6e2210835965cbc6e04f/Study%20Content/Data%20Science/Week%208%20Day%201%20(Monday)/Microsoft%20Learn%20-%20Write%20DAX%20formulas%20for%20Power%20BI%20Desktop%20models.pdf" TargetMode="External"/><Relationship Id="rId144" Type="http://schemas.openxmlformats.org/officeDocument/2006/relationships/hyperlink" Target="https://github.com/BredaUniversityADSAI/2024-25A-FAI1-ADSAI--MaksBurchard240894/blob/fc3261285238acafefb698a2011c65aa84a60c4a/Deliverables/Task%202-7%20(Dashboard)/CRISP_DM_Maks_Burchard.docx" TargetMode="External"/><Relationship Id="rId90" Type="http://schemas.openxmlformats.org/officeDocument/2006/relationships/hyperlink" Target="https://github.com/BredaUniversityADSAI/2024-25A-FAI1-ADSAI--MaksBurchard240894/blob/a377017cefe7c33797cd29556a6170f1f7e91649/Study%20Content/Data%20Science/Week%206%20Day%201%20(Monday)/certificat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298"/>
  <sheetViews>
    <sheetView tabSelected="1" zoomScaleNormal="100" workbookViewId="0">
      <pane ySplit="1" topLeftCell="A274" activePane="bottomLeft" state="frozen"/>
      <selection pane="bottomLeft" activeCell="J296" sqref="J296"/>
    </sheetView>
  </sheetViews>
  <sheetFormatPr defaultColWidth="14.44140625" defaultRowHeight="15" customHeight="1" x14ac:dyDescent="0.25"/>
  <cols>
    <col min="1" max="1" width="9.886718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81.33203125" customWidth="1"/>
  </cols>
  <sheetData>
    <row r="1" spans="1:11" ht="24" x14ac:dyDescent="0.25">
      <c r="A1" s="3" t="s">
        <v>0</v>
      </c>
      <c r="B1" s="3" t="s">
        <v>1</v>
      </c>
      <c r="C1" s="3" t="s">
        <v>2</v>
      </c>
      <c r="D1" s="3" t="s">
        <v>3</v>
      </c>
      <c r="E1" s="5" t="s">
        <v>4</v>
      </c>
      <c r="F1" s="5" t="s">
        <v>5</v>
      </c>
      <c r="G1" s="5" t="s">
        <v>6</v>
      </c>
      <c r="H1" s="5" t="s">
        <v>7</v>
      </c>
      <c r="I1" s="5" t="s">
        <v>8</v>
      </c>
      <c r="J1" s="5" t="s">
        <v>9</v>
      </c>
      <c r="K1" s="3" t="s">
        <v>10</v>
      </c>
    </row>
    <row r="2" spans="1:11" ht="18.75" customHeight="1" x14ac:dyDescent="0.25">
      <c r="A2" s="53" t="s">
        <v>11</v>
      </c>
      <c r="B2" s="54"/>
      <c r="C2" s="54"/>
      <c r="D2" s="54"/>
      <c r="E2" s="54"/>
      <c r="F2" s="54"/>
      <c r="G2" s="54"/>
      <c r="H2" s="54"/>
      <c r="I2" s="54"/>
      <c r="J2" s="54"/>
      <c r="K2" s="54"/>
    </row>
    <row r="3" spans="1:11" ht="13.2" x14ac:dyDescent="0.25">
      <c r="A3" s="7" t="s">
        <v>12</v>
      </c>
      <c r="B3" s="55" t="s">
        <v>13</v>
      </c>
      <c r="C3" s="56"/>
      <c r="D3" s="56"/>
      <c r="E3" s="56"/>
      <c r="F3" s="56"/>
      <c r="G3" s="56"/>
      <c r="H3" s="56"/>
      <c r="I3" s="56"/>
      <c r="J3" s="56"/>
      <c r="K3" s="57"/>
    </row>
    <row r="4" spans="1:11" ht="27.75" customHeight="1" x14ac:dyDescent="0.25">
      <c r="A4" s="10" t="s">
        <v>14</v>
      </c>
      <c r="B4" s="55" t="s">
        <v>15</v>
      </c>
      <c r="C4" s="56"/>
      <c r="D4" s="56"/>
      <c r="E4" s="56"/>
      <c r="F4" s="56"/>
      <c r="G4" s="56"/>
      <c r="H4" s="56"/>
      <c r="I4" s="56"/>
      <c r="J4" s="56"/>
      <c r="K4" s="57"/>
    </row>
    <row r="5" spans="1:11" ht="13.2" x14ac:dyDescent="0.25">
      <c r="A5" s="33">
        <v>45537</v>
      </c>
      <c r="B5" s="28" t="s">
        <v>55</v>
      </c>
      <c r="C5" s="12" t="s">
        <v>16</v>
      </c>
      <c r="D5" s="28" t="s">
        <v>130</v>
      </c>
      <c r="E5" s="13" t="s">
        <v>66</v>
      </c>
      <c r="F5" s="13" t="s">
        <v>54</v>
      </c>
      <c r="G5" s="30">
        <v>1</v>
      </c>
      <c r="H5" s="30">
        <v>1</v>
      </c>
      <c r="I5" s="30">
        <f t="shared" ref="I5:I25" si="0">H5-G5</f>
        <v>0</v>
      </c>
      <c r="J5" s="14"/>
      <c r="K5" s="28"/>
    </row>
    <row r="6" spans="1:11" ht="13.2" x14ac:dyDescent="0.25">
      <c r="A6" s="33">
        <v>45537</v>
      </c>
      <c r="B6" s="28" t="s">
        <v>55</v>
      </c>
      <c r="C6" s="12" t="s">
        <v>16</v>
      </c>
      <c r="D6" s="28" t="s">
        <v>169</v>
      </c>
      <c r="E6" s="13" t="s">
        <v>67</v>
      </c>
      <c r="F6" s="13" t="s">
        <v>57</v>
      </c>
      <c r="G6" s="30">
        <v>3</v>
      </c>
      <c r="H6" s="30">
        <v>3</v>
      </c>
      <c r="I6" s="30">
        <f t="shared" si="0"/>
        <v>0</v>
      </c>
      <c r="J6" s="48" t="s">
        <v>171</v>
      </c>
      <c r="K6" s="28"/>
    </row>
    <row r="7" spans="1:11" ht="13.2" x14ac:dyDescent="0.25">
      <c r="A7" s="33">
        <v>45537</v>
      </c>
      <c r="B7" s="28" t="s">
        <v>55</v>
      </c>
      <c r="C7" s="12" t="s">
        <v>16</v>
      </c>
      <c r="D7" s="28" t="s">
        <v>170</v>
      </c>
      <c r="E7" s="13" t="s">
        <v>67</v>
      </c>
      <c r="F7" s="13" t="s">
        <v>57</v>
      </c>
      <c r="G7" s="30">
        <v>4</v>
      </c>
      <c r="H7" s="30">
        <v>3</v>
      </c>
      <c r="I7" s="30">
        <f t="shared" si="0"/>
        <v>-1</v>
      </c>
      <c r="J7" s="48" t="s">
        <v>171</v>
      </c>
      <c r="K7" s="28" t="s">
        <v>266</v>
      </c>
    </row>
    <row r="8" spans="1:11" ht="13.2" x14ac:dyDescent="0.25">
      <c r="A8" s="33">
        <v>45538</v>
      </c>
      <c r="B8" s="28" t="s">
        <v>55</v>
      </c>
      <c r="C8" s="12" t="s">
        <v>16</v>
      </c>
      <c r="D8" s="28" t="s">
        <v>172</v>
      </c>
      <c r="E8" s="13" t="s">
        <v>47</v>
      </c>
      <c r="F8" s="13" t="s">
        <v>54</v>
      </c>
      <c r="G8" s="30">
        <v>0.25</v>
      </c>
      <c r="H8" s="30">
        <v>0.25</v>
      </c>
      <c r="I8" s="30">
        <f t="shared" si="0"/>
        <v>0</v>
      </c>
      <c r="J8" s="48"/>
      <c r="K8" s="28"/>
    </row>
    <row r="9" spans="1:11" ht="13.2" x14ac:dyDescent="0.25">
      <c r="A9" s="33">
        <v>45538</v>
      </c>
      <c r="B9" s="28" t="s">
        <v>55</v>
      </c>
      <c r="C9" s="12" t="s">
        <v>16</v>
      </c>
      <c r="D9" s="49" t="s">
        <v>71</v>
      </c>
      <c r="E9" s="13" t="s">
        <v>62</v>
      </c>
      <c r="F9" s="13" t="s">
        <v>51</v>
      </c>
      <c r="G9" s="30">
        <v>0.5</v>
      </c>
      <c r="H9" s="30">
        <v>0.5</v>
      </c>
      <c r="I9" s="30">
        <f t="shared" si="0"/>
        <v>0</v>
      </c>
      <c r="J9" s="14"/>
      <c r="K9" s="16"/>
    </row>
    <row r="10" spans="1:11" ht="13.2" x14ac:dyDescent="0.25">
      <c r="A10" s="33">
        <v>45538</v>
      </c>
      <c r="B10" s="28" t="s">
        <v>55</v>
      </c>
      <c r="C10" s="12" t="s">
        <v>16</v>
      </c>
      <c r="D10" s="49" t="s">
        <v>173</v>
      </c>
      <c r="E10" s="13" t="s">
        <v>53</v>
      </c>
      <c r="F10" s="13" t="s">
        <v>54</v>
      </c>
      <c r="G10" s="30">
        <v>1</v>
      </c>
      <c r="H10" s="30">
        <v>1</v>
      </c>
      <c r="I10" s="30">
        <f t="shared" si="0"/>
        <v>0</v>
      </c>
      <c r="J10" s="48" t="s">
        <v>167</v>
      </c>
      <c r="K10" s="16"/>
    </row>
    <row r="11" spans="1:11" ht="13.2" x14ac:dyDescent="0.25">
      <c r="A11" s="33">
        <v>45538</v>
      </c>
      <c r="B11" s="28" t="s">
        <v>55</v>
      </c>
      <c r="C11" s="12" t="s">
        <v>16</v>
      </c>
      <c r="D11" s="28" t="s">
        <v>70</v>
      </c>
      <c r="E11" s="13" t="s">
        <v>53</v>
      </c>
      <c r="F11" s="13" t="s">
        <v>57</v>
      </c>
      <c r="G11" s="30">
        <v>2.5</v>
      </c>
      <c r="H11" s="30">
        <v>3</v>
      </c>
      <c r="I11" s="30">
        <f t="shared" si="0"/>
        <v>0.5</v>
      </c>
      <c r="J11" s="14"/>
      <c r="K11" s="16" t="s">
        <v>343</v>
      </c>
    </row>
    <row r="12" spans="1:11" ht="13.2" x14ac:dyDescent="0.25">
      <c r="A12" s="33">
        <v>45538</v>
      </c>
      <c r="B12" s="28" t="s">
        <v>55</v>
      </c>
      <c r="C12" s="12" t="s">
        <v>16</v>
      </c>
      <c r="D12" s="28" t="s">
        <v>72</v>
      </c>
      <c r="E12" s="13" t="s">
        <v>53</v>
      </c>
      <c r="F12" s="13" t="s">
        <v>51</v>
      </c>
      <c r="G12" s="30">
        <v>1</v>
      </c>
      <c r="H12" s="30">
        <v>1</v>
      </c>
      <c r="I12" s="30">
        <f t="shared" si="0"/>
        <v>0</v>
      </c>
      <c r="J12" s="48" t="s">
        <v>167</v>
      </c>
      <c r="K12" s="16" t="s">
        <v>267</v>
      </c>
    </row>
    <row r="13" spans="1:11" ht="13.2" x14ac:dyDescent="0.25">
      <c r="A13" s="33">
        <v>45538</v>
      </c>
      <c r="B13" s="28" t="s">
        <v>55</v>
      </c>
      <c r="C13" s="12" t="s">
        <v>16</v>
      </c>
      <c r="D13" s="28" t="s">
        <v>73</v>
      </c>
      <c r="E13" s="13" t="s">
        <v>53</v>
      </c>
      <c r="F13" s="13" t="s">
        <v>57</v>
      </c>
      <c r="G13" s="30">
        <v>1</v>
      </c>
      <c r="H13" s="30">
        <v>1</v>
      </c>
      <c r="I13" s="30">
        <f t="shared" si="0"/>
        <v>0</v>
      </c>
      <c r="J13" s="14"/>
      <c r="K13" s="16"/>
    </row>
    <row r="14" spans="1:11" ht="13.2" x14ac:dyDescent="0.25">
      <c r="A14" s="33">
        <v>45539</v>
      </c>
      <c r="B14" s="28" t="s">
        <v>55</v>
      </c>
      <c r="C14" s="12" t="s">
        <v>16</v>
      </c>
      <c r="D14" s="28" t="s">
        <v>176</v>
      </c>
      <c r="E14" s="13" t="s">
        <v>67</v>
      </c>
      <c r="F14" s="13" t="s">
        <v>51</v>
      </c>
      <c r="G14" s="30">
        <v>3</v>
      </c>
      <c r="H14" s="30">
        <v>2</v>
      </c>
      <c r="I14" s="30">
        <f t="shared" si="0"/>
        <v>-1</v>
      </c>
      <c r="J14" s="14"/>
      <c r="K14" s="16"/>
    </row>
    <row r="15" spans="1:11" ht="13.2" x14ac:dyDescent="0.25">
      <c r="A15" s="33" t="s">
        <v>177</v>
      </c>
      <c r="B15" s="28" t="s">
        <v>55</v>
      </c>
      <c r="C15" s="12" t="s">
        <v>16</v>
      </c>
      <c r="D15" s="28" t="s">
        <v>175</v>
      </c>
      <c r="E15" s="13" t="s">
        <v>67</v>
      </c>
      <c r="F15" s="13" t="s">
        <v>54</v>
      </c>
      <c r="G15" s="30">
        <v>3</v>
      </c>
      <c r="H15" s="30">
        <v>4</v>
      </c>
      <c r="I15" s="30">
        <f t="shared" si="0"/>
        <v>1</v>
      </c>
      <c r="J15" s="48" t="s">
        <v>174</v>
      </c>
      <c r="K15" s="16" t="s">
        <v>268</v>
      </c>
    </row>
    <row r="16" spans="1:11" ht="13.2" x14ac:dyDescent="0.25">
      <c r="A16" s="33">
        <v>45540</v>
      </c>
      <c r="B16" s="28" t="s">
        <v>55</v>
      </c>
      <c r="C16" s="12" t="s">
        <v>16</v>
      </c>
      <c r="D16" s="28" t="s">
        <v>158</v>
      </c>
      <c r="E16" s="13" t="s">
        <v>67</v>
      </c>
      <c r="F16" s="13" t="s">
        <v>17</v>
      </c>
      <c r="G16" s="30">
        <v>3</v>
      </c>
      <c r="H16" s="30">
        <v>1</v>
      </c>
      <c r="I16" s="30">
        <f t="shared" si="0"/>
        <v>-2</v>
      </c>
      <c r="J16" s="48" t="s">
        <v>161</v>
      </c>
      <c r="K16" s="16" t="s">
        <v>261</v>
      </c>
    </row>
    <row r="17" spans="1:11" ht="13.2" x14ac:dyDescent="0.25">
      <c r="A17" s="33">
        <v>45540</v>
      </c>
      <c r="B17" s="28" t="s">
        <v>55</v>
      </c>
      <c r="C17" s="12" t="s">
        <v>16</v>
      </c>
      <c r="D17" s="28" t="s">
        <v>159</v>
      </c>
      <c r="E17" s="13" t="s">
        <v>67</v>
      </c>
      <c r="F17" s="13" t="s">
        <v>17</v>
      </c>
      <c r="G17" s="30">
        <v>3</v>
      </c>
      <c r="H17" s="30">
        <v>1</v>
      </c>
      <c r="I17" s="30">
        <f t="shared" si="0"/>
        <v>-2</v>
      </c>
      <c r="J17" s="48" t="s">
        <v>162</v>
      </c>
      <c r="K17" s="16" t="s">
        <v>262</v>
      </c>
    </row>
    <row r="18" spans="1:11" ht="13.2" x14ac:dyDescent="0.25">
      <c r="A18" s="33">
        <v>45540</v>
      </c>
      <c r="B18" s="28" t="s">
        <v>55</v>
      </c>
      <c r="C18" s="12" t="s">
        <v>16</v>
      </c>
      <c r="D18" s="28" t="s">
        <v>160</v>
      </c>
      <c r="E18" s="13" t="s">
        <v>56</v>
      </c>
      <c r="F18" s="13" t="s">
        <v>17</v>
      </c>
      <c r="G18" s="30">
        <v>1</v>
      </c>
      <c r="H18" s="30">
        <v>1</v>
      </c>
      <c r="I18" s="30">
        <f t="shared" si="0"/>
        <v>0</v>
      </c>
      <c r="J18" s="14"/>
      <c r="K18" s="16"/>
    </row>
    <row r="19" spans="1:11" ht="13.2" x14ac:dyDescent="0.25">
      <c r="A19" s="33">
        <v>45541</v>
      </c>
      <c r="B19" s="28" t="s">
        <v>55</v>
      </c>
      <c r="C19" s="12" t="s">
        <v>16</v>
      </c>
      <c r="D19" s="28" t="s">
        <v>172</v>
      </c>
      <c r="E19" s="13" t="s">
        <v>47</v>
      </c>
      <c r="F19" s="13" t="s">
        <v>54</v>
      </c>
      <c r="G19" s="30">
        <v>0.25</v>
      </c>
      <c r="H19" s="30">
        <v>0.25</v>
      </c>
      <c r="I19" s="30">
        <f t="shared" si="0"/>
        <v>0</v>
      </c>
      <c r="J19" s="14"/>
      <c r="K19" s="16"/>
    </row>
    <row r="20" spans="1:11" ht="13.2" x14ac:dyDescent="0.25">
      <c r="A20" s="33">
        <v>45541</v>
      </c>
      <c r="B20" s="28" t="s">
        <v>55</v>
      </c>
      <c r="C20" s="12" t="s">
        <v>16</v>
      </c>
      <c r="D20" s="28" t="s">
        <v>178</v>
      </c>
      <c r="E20" s="13" t="s">
        <v>47</v>
      </c>
      <c r="F20" s="13" t="s">
        <v>57</v>
      </c>
      <c r="G20" s="30">
        <v>0.5</v>
      </c>
      <c r="H20" s="30">
        <v>0.75</v>
      </c>
      <c r="I20" s="30">
        <f t="shared" si="0"/>
        <v>0.25</v>
      </c>
      <c r="J20" s="14"/>
      <c r="K20" s="16" t="s">
        <v>263</v>
      </c>
    </row>
    <row r="21" spans="1:11" ht="13.2" x14ac:dyDescent="0.25">
      <c r="A21" s="33">
        <v>45541</v>
      </c>
      <c r="B21" s="28" t="s">
        <v>55</v>
      </c>
      <c r="C21" s="12" t="s">
        <v>16</v>
      </c>
      <c r="D21" s="28" t="s">
        <v>90</v>
      </c>
      <c r="E21" s="13" t="s">
        <v>45</v>
      </c>
      <c r="F21" s="13" t="s">
        <v>57</v>
      </c>
      <c r="G21" s="30">
        <v>2</v>
      </c>
      <c r="H21" s="30">
        <v>1.5</v>
      </c>
      <c r="I21" s="30">
        <f t="shared" si="0"/>
        <v>-0.5</v>
      </c>
      <c r="J21" s="48" t="s">
        <v>166</v>
      </c>
      <c r="K21" s="16" t="s">
        <v>344</v>
      </c>
    </row>
    <row r="22" spans="1:11" ht="13.2" x14ac:dyDescent="0.25">
      <c r="A22" s="33">
        <v>45541</v>
      </c>
      <c r="B22" s="28" t="s">
        <v>55</v>
      </c>
      <c r="C22" s="12" t="s">
        <v>16</v>
      </c>
      <c r="D22" s="28" t="s">
        <v>91</v>
      </c>
      <c r="E22" s="13" t="s">
        <v>47</v>
      </c>
      <c r="F22" s="13" t="s">
        <v>57</v>
      </c>
      <c r="G22" s="30">
        <v>0.5</v>
      </c>
      <c r="H22" s="30">
        <v>0.5</v>
      </c>
      <c r="I22" s="30">
        <f t="shared" si="0"/>
        <v>0</v>
      </c>
      <c r="J22" s="48" t="s">
        <v>165</v>
      </c>
      <c r="K22" s="16" t="s">
        <v>264</v>
      </c>
    </row>
    <row r="23" spans="1:11" ht="13.2" x14ac:dyDescent="0.25">
      <c r="A23" s="33">
        <v>45541</v>
      </c>
      <c r="B23" s="28" t="s">
        <v>55</v>
      </c>
      <c r="C23" s="12" t="s">
        <v>16</v>
      </c>
      <c r="D23" s="28" t="s">
        <v>92</v>
      </c>
      <c r="E23" s="13" t="s">
        <v>59</v>
      </c>
      <c r="F23" s="13" t="s">
        <v>57</v>
      </c>
      <c r="G23" s="30">
        <v>1</v>
      </c>
      <c r="H23" s="30">
        <v>1</v>
      </c>
      <c r="I23" s="30">
        <f t="shared" si="0"/>
        <v>0</v>
      </c>
      <c r="J23" s="48" t="s">
        <v>164</v>
      </c>
      <c r="K23" s="16"/>
    </row>
    <row r="24" spans="1:11" ht="13.2" x14ac:dyDescent="0.25">
      <c r="A24" s="33">
        <v>45541</v>
      </c>
      <c r="B24" s="28" t="s">
        <v>55</v>
      </c>
      <c r="C24" s="12" t="s">
        <v>16</v>
      </c>
      <c r="D24" s="28" t="s">
        <v>163</v>
      </c>
      <c r="E24" s="13" t="s">
        <v>67</v>
      </c>
      <c r="F24" s="13" t="s">
        <v>57</v>
      </c>
      <c r="G24" s="30">
        <v>0.5</v>
      </c>
      <c r="H24" s="30">
        <v>0.5</v>
      </c>
      <c r="I24" s="30">
        <f t="shared" si="0"/>
        <v>0</v>
      </c>
      <c r="J24" s="48" t="s">
        <v>157</v>
      </c>
      <c r="K24" s="16" t="s">
        <v>265</v>
      </c>
    </row>
    <row r="25" spans="1:11" ht="13.2" x14ac:dyDescent="0.25">
      <c r="A25" s="19"/>
      <c r="B25" s="21"/>
      <c r="C25" s="21"/>
      <c r="D25" s="21"/>
      <c r="E25" s="21" t="s">
        <v>18</v>
      </c>
      <c r="F25" s="21"/>
      <c r="G25" s="24">
        <f>SUM(G5:G24)</f>
        <v>32</v>
      </c>
      <c r="H25" s="24">
        <f>SUM(H5:H24)</f>
        <v>27.25</v>
      </c>
      <c r="I25" s="24">
        <f t="shared" si="0"/>
        <v>-4.75</v>
      </c>
      <c r="J25" s="25"/>
      <c r="K25" s="21"/>
    </row>
    <row r="26" spans="1:11" ht="18.75" customHeight="1" x14ac:dyDescent="0.25">
      <c r="A26" s="58" t="s">
        <v>19</v>
      </c>
      <c r="B26" s="54"/>
      <c r="C26" s="54"/>
      <c r="D26" s="54"/>
      <c r="E26" s="54"/>
      <c r="F26" s="54"/>
      <c r="G26" s="54"/>
      <c r="H26" s="54"/>
      <c r="I26" s="54"/>
      <c r="J26" s="54"/>
      <c r="K26" s="54"/>
    </row>
    <row r="27" spans="1:11" ht="13.2" x14ac:dyDescent="0.25">
      <c r="A27" s="47" t="s">
        <v>12</v>
      </c>
      <c r="B27" s="59" t="s">
        <v>13</v>
      </c>
      <c r="C27" s="56"/>
      <c r="D27" s="56"/>
      <c r="E27" s="56"/>
      <c r="F27" s="56"/>
      <c r="G27" s="56"/>
      <c r="H27" s="56"/>
      <c r="I27" s="56"/>
      <c r="J27" s="56"/>
      <c r="K27" s="57"/>
    </row>
    <row r="28" spans="1:11" ht="27.75" customHeight="1" x14ac:dyDescent="0.25">
      <c r="A28" s="26" t="s">
        <v>14</v>
      </c>
      <c r="B28" s="59" t="s">
        <v>20</v>
      </c>
      <c r="C28" s="56"/>
      <c r="D28" s="56"/>
      <c r="E28" s="56"/>
      <c r="F28" s="56"/>
      <c r="G28" s="56"/>
      <c r="H28" s="56"/>
      <c r="I28" s="56"/>
      <c r="J28" s="56"/>
      <c r="K28" s="57"/>
    </row>
    <row r="29" spans="1:11" ht="13.2" x14ac:dyDescent="0.25">
      <c r="A29" s="27">
        <v>45544</v>
      </c>
      <c r="B29" s="28" t="s">
        <v>55</v>
      </c>
      <c r="C29" s="12" t="s">
        <v>16</v>
      </c>
      <c r="D29" s="28" t="s">
        <v>80</v>
      </c>
      <c r="E29" s="13" t="s">
        <v>67</v>
      </c>
      <c r="F29" s="13" t="s">
        <v>48</v>
      </c>
      <c r="G29" s="30">
        <v>1</v>
      </c>
      <c r="H29" s="30">
        <v>0.5</v>
      </c>
      <c r="I29" s="30">
        <f t="shared" ref="I29:I57" si="1">H29-G29</f>
        <v>-0.5</v>
      </c>
      <c r="J29" s="48" t="s">
        <v>103</v>
      </c>
      <c r="K29" s="28" t="s">
        <v>345</v>
      </c>
    </row>
    <row r="30" spans="1:11" ht="13.2" x14ac:dyDescent="0.25">
      <c r="A30" s="27">
        <v>45544</v>
      </c>
      <c r="B30" s="28" t="s">
        <v>55</v>
      </c>
      <c r="C30" s="12" t="s">
        <v>16</v>
      </c>
      <c r="D30" s="28" t="s">
        <v>81</v>
      </c>
      <c r="E30" s="13" t="s">
        <v>53</v>
      </c>
      <c r="F30" s="13" t="s">
        <v>54</v>
      </c>
      <c r="G30" s="30">
        <v>4</v>
      </c>
      <c r="H30" s="30">
        <v>3</v>
      </c>
      <c r="I30" s="30">
        <f t="shared" ref="I30" si="2">H30-G30</f>
        <v>-1</v>
      </c>
      <c r="J30" s="48" t="s">
        <v>105</v>
      </c>
      <c r="K30" s="28"/>
    </row>
    <row r="31" spans="1:11" ht="13.2" x14ac:dyDescent="0.25">
      <c r="A31" s="27">
        <v>45545</v>
      </c>
      <c r="B31" s="28" t="s">
        <v>55</v>
      </c>
      <c r="C31" s="12" t="s">
        <v>16</v>
      </c>
      <c r="D31" s="28" t="s">
        <v>144</v>
      </c>
      <c r="E31" s="13" t="s">
        <v>47</v>
      </c>
      <c r="F31" s="13" t="s">
        <v>51</v>
      </c>
      <c r="G31" s="30">
        <v>0.25</v>
      </c>
      <c r="H31" s="30">
        <v>0.25</v>
      </c>
      <c r="I31" s="30">
        <f>H31-G31</f>
        <v>0</v>
      </c>
      <c r="J31" s="48"/>
      <c r="K31" s="28"/>
    </row>
    <row r="32" spans="1:11" ht="13.2" x14ac:dyDescent="0.25">
      <c r="A32" s="27">
        <v>45545</v>
      </c>
      <c r="B32" s="28" t="s">
        <v>55</v>
      </c>
      <c r="C32" s="12" t="s">
        <v>16</v>
      </c>
      <c r="D32" s="28" t="s">
        <v>74</v>
      </c>
      <c r="E32" s="13" t="s">
        <v>53</v>
      </c>
      <c r="F32" s="13" t="s">
        <v>57</v>
      </c>
      <c r="G32" s="30">
        <v>1</v>
      </c>
      <c r="H32" s="30">
        <v>1</v>
      </c>
      <c r="I32" s="30">
        <f>H32-G32</f>
        <v>0</v>
      </c>
      <c r="J32" s="29"/>
      <c r="K32" s="28" t="s">
        <v>106</v>
      </c>
    </row>
    <row r="33" spans="1:11" ht="13.2" x14ac:dyDescent="0.25">
      <c r="A33" s="27">
        <v>45545</v>
      </c>
      <c r="B33" s="28" t="s">
        <v>55</v>
      </c>
      <c r="C33" s="12" t="s">
        <v>16</v>
      </c>
      <c r="D33" s="28" t="s">
        <v>85</v>
      </c>
      <c r="E33" s="13" t="s">
        <v>62</v>
      </c>
      <c r="F33" s="13" t="s">
        <v>54</v>
      </c>
      <c r="G33" s="30">
        <v>1.5</v>
      </c>
      <c r="H33" s="30">
        <v>1</v>
      </c>
      <c r="I33" s="30">
        <f t="shared" ref="I33:I35" si="3">H33-G33</f>
        <v>-0.5</v>
      </c>
      <c r="J33" s="48" t="s">
        <v>107</v>
      </c>
      <c r="K33" s="28" t="s">
        <v>122</v>
      </c>
    </row>
    <row r="34" spans="1:11" ht="13.2" x14ac:dyDescent="0.25">
      <c r="A34" s="27">
        <v>45545</v>
      </c>
      <c r="B34" s="28" t="s">
        <v>55</v>
      </c>
      <c r="C34" s="12" t="s">
        <v>16</v>
      </c>
      <c r="D34" s="28" t="s">
        <v>84</v>
      </c>
      <c r="E34" s="13" t="s">
        <v>56</v>
      </c>
      <c r="F34" s="13" t="s">
        <v>54</v>
      </c>
      <c r="G34" s="30">
        <v>1</v>
      </c>
      <c r="H34" s="30">
        <v>0.5</v>
      </c>
      <c r="I34" s="30">
        <f t="shared" si="3"/>
        <v>-0.5</v>
      </c>
      <c r="J34" s="48" t="s">
        <v>107</v>
      </c>
      <c r="K34" s="28" t="s">
        <v>346</v>
      </c>
    </row>
    <row r="35" spans="1:11" ht="13.2" x14ac:dyDescent="0.25">
      <c r="A35" s="27">
        <v>45545</v>
      </c>
      <c r="B35" s="28" t="s">
        <v>55</v>
      </c>
      <c r="C35" s="12" t="s">
        <v>16</v>
      </c>
      <c r="D35" s="28" t="s">
        <v>86</v>
      </c>
      <c r="E35" s="13" t="s">
        <v>46</v>
      </c>
      <c r="F35" s="13" t="s">
        <v>54</v>
      </c>
      <c r="G35" s="30">
        <v>0</v>
      </c>
      <c r="H35" s="30">
        <v>0.5</v>
      </c>
      <c r="I35" s="30">
        <f t="shared" si="3"/>
        <v>0.5</v>
      </c>
      <c r="J35" s="48" t="s">
        <v>107</v>
      </c>
      <c r="K35" s="28" t="s">
        <v>347</v>
      </c>
    </row>
    <row r="36" spans="1:11" ht="13.2" x14ac:dyDescent="0.25">
      <c r="A36" s="27">
        <v>45545</v>
      </c>
      <c r="B36" s="28" t="s">
        <v>55</v>
      </c>
      <c r="C36" s="12" t="s">
        <v>16</v>
      </c>
      <c r="D36" s="28" t="s">
        <v>75</v>
      </c>
      <c r="E36" s="13" t="s">
        <v>46</v>
      </c>
      <c r="F36" s="13" t="s">
        <v>54</v>
      </c>
      <c r="G36" s="30">
        <v>0</v>
      </c>
      <c r="H36" s="30">
        <v>0.5</v>
      </c>
      <c r="I36" s="30">
        <f t="shared" ref="I36:I41" si="4">H36-G36</f>
        <v>0.5</v>
      </c>
      <c r="J36" s="29" t="s">
        <v>115</v>
      </c>
      <c r="K36" s="28" t="s">
        <v>114</v>
      </c>
    </row>
    <row r="37" spans="1:11" ht="13.2" x14ac:dyDescent="0.25">
      <c r="A37" s="27" t="s">
        <v>79</v>
      </c>
      <c r="B37" s="28" t="s">
        <v>55</v>
      </c>
      <c r="C37" s="12" t="s">
        <v>16</v>
      </c>
      <c r="D37" s="28" t="s">
        <v>76</v>
      </c>
      <c r="E37" s="13" t="s">
        <v>53</v>
      </c>
      <c r="F37" s="13" t="s">
        <v>57</v>
      </c>
      <c r="G37" s="30">
        <v>1</v>
      </c>
      <c r="H37" s="30">
        <v>0.5</v>
      </c>
      <c r="I37" s="30">
        <f t="shared" si="4"/>
        <v>-0.5</v>
      </c>
      <c r="J37" s="48" t="s">
        <v>104</v>
      </c>
      <c r="K37" s="28" t="s">
        <v>108</v>
      </c>
    </row>
    <row r="38" spans="1:11" ht="13.2" x14ac:dyDescent="0.25">
      <c r="A38" s="27" t="s">
        <v>79</v>
      </c>
      <c r="B38" s="28" t="s">
        <v>55</v>
      </c>
      <c r="C38" s="12" t="s">
        <v>16</v>
      </c>
      <c r="D38" s="28" t="s">
        <v>77</v>
      </c>
      <c r="E38" s="13" t="s">
        <v>45</v>
      </c>
      <c r="F38" s="13" t="s">
        <v>57</v>
      </c>
      <c r="G38" s="30">
        <v>1</v>
      </c>
      <c r="H38" s="30">
        <v>2</v>
      </c>
      <c r="I38" s="30">
        <f t="shared" si="4"/>
        <v>1</v>
      </c>
      <c r="J38" s="48" t="s">
        <v>89</v>
      </c>
      <c r="K38" s="28" t="s">
        <v>348</v>
      </c>
    </row>
    <row r="39" spans="1:11" ht="13.2" x14ac:dyDescent="0.25">
      <c r="A39" s="27" t="s">
        <v>79</v>
      </c>
      <c r="B39" s="28" t="s">
        <v>55</v>
      </c>
      <c r="C39" s="12" t="s">
        <v>16</v>
      </c>
      <c r="D39" s="28" t="s">
        <v>78</v>
      </c>
      <c r="E39" s="13" t="s">
        <v>45</v>
      </c>
      <c r="F39" s="13" t="s">
        <v>57</v>
      </c>
      <c r="G39" s="30">
        <v>2</v>
      </c>
      <c r="H39" s="30">
        <v>2</v>
      </c>
      <c r="I39" s="30">
        <f t="shared" si="4"/>
        <v>0</v>
      </c>
      <c r="J39" s="29"/>
      <c r="K39" s="28"/>
    </row>
    <row r="40" spans="1:11" ht="13.2" x14ac:dyDescent="0.25">
      <c r="A40" s="27">
        <v>45546</v>
      </c>
      <c r="B40" s="28" t="s">
        <v>55</v>
      </c>
      <c r="C40" s="12" t="s">
        <v>16</v>
      </c>
      <c r="D40" s="28" t="s">
        <v>83</v>
      </c>
      <c r="E40" s="13" t="s">
        <v>67</v>
      </c>
      <c r="F40" s="13" t="s">
        <v>60</v>
      </c>
      <c r="G40" s="30">
        <v>3</v>
      </c>
      <c r="H40" s="30">
        <v>1.5</v>
      </c>
      <c r="I40" s="30">
        <f t="shared" si="4"/>
        <v>-1.5</v>
      </c>
      <c r="J40" s="48" t="s">
        <v>112</v>
      </c>
      <c r="K40" s="28" t="s">
        <v>116</v>
      </c>
    </row>
    <row r="41" spans="1:11" ht="13.2" x14ac:dyDescent="0.25">
      <c r="A41" s="27">
        <v>45546</v>
      </c>
      <c r="B41" s="28" t="s">
        <v>55</v>
      </c>
      <c r="C41" s="12" t="s">
        <v>16</v>
      </c>
      <c r="D41" s="28" t="s">
        <v>82</v>
      </c>
      <c r="E41" s="13" t="s">
        <v>67</v>
      </c>
      <c r="F41" s="13" t="s">
        <v>60</v>
      </c>
      <c r="G41" s="30">
        <v>3</v>
      </c>
      <c r="H41" s="30">
        <v>3</v>
      </c>
      <c r="I41" s="30">
        <f t="shared" si="4"/>
        <v>0</v>
      </c>
      <c r="J41" s="48" t="s">
        <v>112</v>
      </c>
      <c r="K41" s="28" t="s">
        <v>113</v>
      </c>
    </row>
    <row r="42" spans="1:11" ht="13.2" x14ac:dyDescent="0.25">
      <c r="A42" s="27">
        <v>45547</v>
      </c>
      <c r="B42" s="28" t="s">
        <v>55</v>
      </c>
      <c r="C42" s="12" t="s">
        <v>16</v>
      </c>
      <c r="D42" s="28" t="s">
        <v>87</v>
      </c>
      <c r="E42" s="13" t="s">
        <v>67</v>
      </c>
      <c r="F42" s="13" t="s">
        <v>17</v>
      </c>
      <c r="G42" s="30">
        <v>3</v>
      </c>
      <c r="H42" s="30">
        <v>1</v>
      </c>
      <c r="I42" s="30">
        <f t="shared" ref="I42" si="5">H42-G42</f>
        <v>-2</v>
      </c>
      <c r="J42" s="48" t="s">
        <v>110</v>
      </c>
      <c r="K42" s="28" t="s">
        <v>109</v>
      </c>
    </row>
    <row r="43" spans="1:11" ht="13.2" x14ac:dyDescent="0.25">
      <c r="A43" s="27">
        <v>45547</v>
      </c>
      <c r="B43" s="28" t="s">
        <v>55</v>
      </c>
      <c r="C43" s="12" t="s">
        <v>16</v>
      </c>
      <c r="D43" s="28" t="s">
        <v>88</v>
      </c>
      <c r="E43" s="13" t="s">
        <v>67</v>
      </c>
      <c r="F43" s="13" t="s">
        <v>17</v>
      </c>
      <c r="G43" s="30">
        <v>3</v>
      </c>
      <c r="H43" s="30">
        <v>1</v>
      </c>
      <c r="I43" s="30">
        <f t="shared" ref="I43:I55" si="6">H43-G43</f>
        <v>-2</v>
      </c>
      <c r="J43" s="48" t="s">
        <v>111</v>
      </c>
      <c r="K43" s="28" t="s">
        <v>109</v>
      </c>
    </row>
    <row r="44" spans="1:11" ht="13.2" x14ac:dyDescent="0.25">
      <c r="A44" s="27" t="s">
        <v>95</v>
      </c>
      <c r="B44" s="28" t="s">
        <v>55</v>
      </c>
      <c r="C44" s="12" t="s">
        <v>16</v>
      </c>
      <c r="D44" s="28" t="s">
        <v>93</v>
      </c>
      <c r="E44" s="13" t="s">
        <v>67</v>
      </c>
      <c r="F44" s="13" t="s">
        <v>51</v>
      </c>
      <c r="G44" s="30">
        <v>1.5</v>
      </c>
      <c r="H44" s="30">
        <v>3</v>
      </c>
      <c r="I44" s="30">
        <f t="shared" si="6"/>
        <v>1.5</v>
      </c>
      <c r="J44" s="29" t="s">
        <v>537</v>
      </c>
      <c r="K44" s="28" t="s">
        <v>123</v>
      </c>
    </row>
    <row r="45" spans="1:11" ht="13.2" x14ac:dyDescent="0.25">
      <c r="A45" s="27">
        <v>45548</v>
      </c>
      <c r="B45" s="28" t="s">
        <v>55</v>
      </c>
      <c r="C45" s="12" t="s">
        <v>16</v>
      </c>
      <c r="D45" s="28" t="s">
        <v>145</v>
      </c>
      <c r="E45" s="13" t="s">
        <v>47</v>
      </c>
      <c r="F45" s="13" t="s">
        <v>51</v>
      </c>
      <c r="G45" s="30">
        <v>0.25</v>
      </c>
      <c r="H45" s="30">
        <v>0.25</v>
      </c>
      <c r="I45" s="30">
        <f t="shared" si="6"/>
        <v>0</v>
      </c>
      <c r="J45" s="29"/>
      <c r="K45" s="28"/>
    </row>
    <row r="46" spans="1:11" ht="13.2" x14ac:dyDescent="0.25">
      <c r="A46" s="27">
        <v>45548</v>
      </c>
      <c r="B46" s="28" t="s">
        <v>55</v>
      </c>
      <c r="C46" s="12" t="s">
        <v>16</v>
      </c>
      <c r="D46" s="28" t="s">
        <v>94</v>
      </c>
      <c r="E46" s="13" t="s">
        <v>59</v>
      </c>
      <c r="F46" s="13" t="s">
        <v>51</v>
      </c>
      <c r="G46" s="30">
        <v>0.75</v>
      </c>
      <c r="H46" s="30">
        <v>1</v>
      </c>
      <c r="I46" s="30">
        <f t="shared" si="6"/>
        <v>0.25</v>
      </c>
      <c r="J46" s="29"/>
      <c r="K46" s="28" t="s">
        <v>129</v>
      </c>
    </row>
    <row r="47" spans="1:11" ht="13.2" x14ac:dyDescent="0.25">
      <c r="A47" s="27">
        <v>45548</v>
      </c>
      <c r="B47" s="28" t="s">
        <v>55</v>
      </c>
      <c r="C47" s="12" t="s">
        <v>16</v>
      </c>
      <c r="D47" s="28" t="s">
        <v>96</v>
      </c>
      <c r="E47" s="13" t="s">
        <v>47</v>
      </c>
      <c r="F47" s="13" t="s">
        <v>51</v>
      </c>
      <c r="G47" s="30">
        <v>0.33</v>
      </c>
      <c r="H47" s="30">
        <v>0.33</v>
      </c>
      <c r="I47" s="30">
        <f t="shared" si="6"/>
        <v>0</v>
      </c>
      <c r="J47" s="29"/>
      <c r="K47" s="28" t="s">
        <v>121</v>
      </c>
    </row>
    <row r="48" spans="1:11" ht="13.2" x14ac:dyDescent="0.25">
      <c r="A48" s="27">
        <v>45548</v>
      </c>
      <c r="B48" s="28" t="s">
        <v>55</v>
      </c>
      <c r="C48" s="12" t="s">
        <v>16</v>
      </c>
      <c r="D48" s="28" t="s">
        <v>97</v>
      </c>
      <c r="E48" s="13" t="s">
        <v>47</v>
      </c>
      <c r="F48" s="13" t="s">
        <v>57</v>
      </c>
      <c r="G48" s="30">
        <v>0.5</v>
      </c>
      <c r="H48" s="30">
        <v>0.5</v>
      </c>
      <c r="I48" s="30">
        <f t="shared" si="6"/>
        <v>0</v>
      </c>
      <c r="J48" s="29"/>
      <c r="K48" s="28"/>
    </row>
    <row r="49" spans="1:11" ht="13.2" x14ac:dyDescent="0.25">
      <c r="A49" s="27">
        <v>45548</v>
      </c>
      <c r="B49" s="28" t="s">
        <v>55</v>
      </c>
      <c r="C49" s="12" t="s">
        <v>16</v>
      </c>
      <c r="D49" s="28" t="s">
        <v>98</v>
      </c>
      <c r="E49" s="13" t="s">
        <v>47</v>
      </c>
      <c r="F49" s="13" t="s">
        <v>48</v>
      </c>
      <c r="G49" s="30">
        <v>0.1</v>
      </c>
      <c r="H49" s="30">
        <v>0.25</v>
      </c>
      <c r="I49" s="30">
        <f t="shared" si="6"/>
        <v>0.15</v>
      </c>
      <c r="J49" s="29"/>
      <c r="K49" s="28" t="s">
        <v>99</v>
      </c>
    </row>
    <row r="50" spans="1:11" ht="13.2" x14ac:dyDescent="0.25">
      <c r="A50" s="27">
        <v>45548</v>
      </c>
      <c r="B50" s="28" t="s">
        <v>55</v>
      </c>
      <c r="C50" s="12" t="s">
        <v>16</v>
      </c>
      <c r="D50" s="28" t="s">
        <v>100</v>
      </c>
      <c r="E50" s="13" t="s">
        <v>46</v>
      </c>
      <c r="F50" s="13" t="s">
        <v>51</v>
      </c>
      <c r="G50" s="30">
        <v>0</v>
      </c>
      <c r="H50" s="30">
        <v>0.1</v>
      </c>
      <c r="I50" s="30">
        <f t="shared" si="6"/>
        <v>0.1</v>
      </c>
      <c r="J50" s="29"/>
      <c r="K50" s="28" t="s">
        <v>120</v>
      </c>
    </row>
    <row r="51" spans="1:11" ht="13.2" x14ac:dyDescent="0.25">
      <c r="A51" s="27">
        <v>45548</v>
      </c>
      <c r="B51" s="28" t="s">
        <v>55</v>
      </c>
      <c r="C51" s="12" t="s">
        <v>16</v>
      </c>
      <c r="D51" s="28" t="s">
        <v>101</v>
      </c>
      <c r="E51" s="13" t="s">
        <v>46</v>
      </c>
      <c r="F51" s="13" t="s">
        <v>54</v>
      </c>
      <c r="G51" s="30">
        <v>0</v>
      </c>
      <c r="H51" s="30">
        <v>0.5</v>
      </c>
      <c r="I51" s="30">
        <f t="shared" si="6"/>
        <v>0.5</v>
      </c>
      <c r="J51" s="29" t="s">
        <v>115</v>
      </c>
      <c r="K51" s="28" t="s">
        <v>118</v>
      </c>
    </row>
    <row r="52" spans="1:11" ht="13.2" x14ac:dyDescent="0.25">
      <c r="A52" s="27">
        <v>45548</v>
      </c>
      <c r="B52" s="28" t="s">
        <v>55</v>
      </c>
      <c r="C52" s="12" t="s">
        <v>16</v>
      </c>
      <c r="D52" s="28" t="s">
        <v>102</v>
      </c>
      <c r="E52" s="13" t="s">
        <v>64</v>
      </c>
      <c r="F52" s="13" t="s">
        <v>57</v>
      </c>
      <c r="G52" s="30">
        <v>2</v>
      </c>
      <c r="H52" s="30">
        <v>2</v>
      </c>
      <c r="I52" s="30">
        <f t="shared" si="6"/>
        <v>0</v>
      </c>
      <c r="J52" s="48" t="s">
        <v>117</v>
      </c>
      <c r="K52" s="28" t="s">
        <v>124</v>
      </c>
    </row>
    <row r="53" spans="1:11" ht="13.2" x14ac:dyDescent="0.25">
      <c r="A53" s="27">
        <v>45548</v>
      </c>
      <c r="B53" s="28" t="s">
        <v>55</v>
      </c>
      <c r="C53" s="12" t="s">
        <v>16</v>
      </c>
      <c r="D53" s="28" t="s">
        <v>119</v>
      </c>
      <c r="E53" s="13" t="s">
        <v>46</v>
      </c>
      <c r="F53" s="13" t="s">
        <v>57</v>
      </c>
      <c r="G53" s="30">
        <v>0</v>
      </c>
      <c r="H53" s="30">
        <v>0.1</v>
      </c>
      <c r="I53" s="30">
        <f t="shared" si="6"/>
        <v>0.1</v>
      </c>
      <c r="J53" s="29"/>
      <c r="K53" s="28" t="s">
        <v>349</v>
      </c>
    </row>
    <row r="54" spans="1:11" ht="13.2" x14ac:dyDescent="0.25">
      <c r="A54" s="27">
        <v>45548</v>
      </c>
      <c r="B54" s="28" t="s">
        <v>55</v>
      </c>
      <c r="C54" s="12" t="s">
        <v>16</v>
      </c>
      <c r="D54" s="28" t="s">
        <v>125</v>
      </c>
      <c r="E54" s="13" t="s">
        <v>64</v>
      </c>
      <c r="F54" s="13" t="s">
        <v>57</v>
      </c>
      <c r="G54" s="30">
        <v>2</v>
      </c>
      <c r="H54" s="30">
        <v>2</v>
      </c>
      <c r="I54" s="30">
        <f t="shared" si="6"/>
        <v>0</v>
      </c>
      <c r="J54" s="29"/>
      <c r="K54" s="28"/>
    </row>
    <row r="55" spans="1:11" ht="13.2" x14ac:dyDescent="0.25">
      <c r="A55" s="27">
        <v>45548</v>
      </c>
      <c r="B55" s="28" t="s">
        <v>55</v>
      </c>
      <c r="C55" s="12" t="s">
        <v>16</v>
      </c>
      <c r="D55" s="28" t="s">
        <v>126</v>
      </c>
      <c r="E55" s="13" t="s">
        <v>53</v>
      </c>
      <c r="F55" s="13" t="s">
        <v>57</v>
      </c>
      <c r="G55" s="30">
        <v>2</v>
      </c>
      <c r="H55" s="30">
        <v>2</v>
      </c>
      <c r="I55" s="30">
        <f t="shared" si="6"/>
        <v>0</v>
      </c>
      <c r="J55" s="48" t="s">
        <v>128</v>
      </c>
      <c r="K55" s="28"/>
    </row>
    <row r="56" spans="1:11" ht="13.2" x14ac:dyDescent="0.25">
      <c r="A56" s="27">
        <v>45548</v>
      </c>
      <c r="B56" s="28" t="s">
        <v>55</v>
      </c>
      <c r="C56" s="12" t="s">
        <v>16</v>
      </c>
      <c r="D56" s="28" t="s">
        <v>127</v>
      </c>
      <c r="E56" s="13" t="s">
        <v>45</v>
      </c>
      <c r="F56" s="13" t="s">
        <v>57</v>
      </c>
      <c r="G56" s="30">
        <v>1</v>
      </c>
      <c r="H56" s="30">
        <v>1</v>
      </c>
      <c r="I56" s="30">
        <f t="shared" si="1"/>
        <v>0</v>
      </c>
      <c r="J56" s="29"/>
      <c r="K56" s="28"/>
    </row>
    <row r="57" spans="1:11" ht="13.2" x14ac:dyDescent="0.25">
      <c r="A57" s="19"/>
      <c r="B57" s="21"/>
      <c r="C57" s="21"/>
      <c r="D57" s="21"/>
      <c r="E57" s="21" t="s">
        <v>18</v>
      </c>
      <c r="F57" s="21"/>
      <c r="G57" s="24">
        <f>SUM(G27:G56)</f>
        <v>35.18</v>
      </c>
      <c r="H57" s="24">
        <f>SUM(H27:H56)</f>
        <v>31.28</v>
      </c>
      <c r="I57" s="24">
        <f t="shared" si="1"/>
        <v>-3.8999999999999986</v>
      </c>
      <c r="J57" s="25"/>
      <c r="K57" s="21"/>
    </row>
    <row r="58" spans="1:11" ht="18.75" customHeight="1" x14ac:dyDescent="0.25">
      <c r="A58" s="60" t="s">
        <v>21</v>
      </c>
      <c r="B58" s="56"/>
      <c r="C58" s="56"/>
      <c r="D58" s="56"/>
      <c r="E58" s="56"/>
      <c r="F58" s="56"/>
      <c r="G58" s="56"/>
      <c r="H58" s="56"/>
      <c r="I58" s="56"/>
      <c r="J58" s="56"/>
      <c r="K58" s="57"/>
    </row>
    <row r="59" spans="1:11" ht="13.2" x14ac:dyDescent="0.25">
      <c r="A59" s="31" t="s">
        <v>12</v>
      </c>
      <c r="B59" s="61" t="s">
        <v>13</v>
      </c>
      <c r="C59" s="56"/>
      <c r="D59" s="56"/>
      <c r="E59" s="56"/>
      <c r="F59" s="56"/>
      <c r="G59" s="56"/>
      <c r="H59" s="56"/>
      <c r="I59" s="56"/>
      <c r="J59" s="56"/>
      <c r="K59" s="57"/>
    </row>
    <row r="60" spans="1:11" ht="27.75" customHeight="1" x14ac:dyDescent="0.25">
      <c r="A60" s="32" t="s">
        <v>14</v>
      </c>
      <c r="B60" s="61" t="s">
        <v>15</v>
      </c>
      <c r="C60" s="56"/>
      <c r="D60" s="56"/>
      <c r="E60" s="56"/>
      <c r="F60" s="56"/>
      <c r="G60" s="56"/>
      <c r="H60" s="56"/>
      <c r="I60" s="56"/>
      <c r="J60" s="56"/>
      <c r="K60" s="57"/>
    </row>
    <row r="61" spans="1:11" ht="13.2" x14ac:dyDescent="0.25">
      <c r="A61" s="33">
        <v>45551</v>
      </c>
      <c r="B61" s="28" t="s">
        <v>55</v>
      </c>
      <c r="C61" s="12" t="s">
        <v>16</v>
      </c>
      <c r="D61" s="28" t="s">
        <v>131</v>
      </c>
      <c r="E61" s="13" t="s">
        <v>62</v>
      </c>
      <c r="F61" s="13" t="s">
        <v>51</v>
      </c>
      <c r="G61" s="30">
        <v>0.5</v>
      </c>
      <c r="H61" s="30">
        <v>0.1</v>
      </c>
      <c r="I61" s="30">
        <f t="shared" ref="I61:I90" si="7">H61-G61</f>
        <v>-0.4</v>
      </c>
      <c r="J61" s="48" t="s">
        <v>143</v>
      </c>
      <c r="K61" s="28" t="s">
        <v>136</v>
      </c>
    </row>
    <row r="62" spans="1:11" ht="13.2" x14ac:dyDescent="0.25">
      <c r="A62" s="33">
        <v>45551</v>
      </c>
      <c r="B62" s="28" t="s">
        <v>55</v>
      </c>
      <c r="C62" s="12" t="s">
        <v>16</v>
      </c>
      <c r="D62" s="28" t="s">
        <v>132</v>
      </c>
      <c r="E62" s="13" t="s">
        <v>62</v>
      </c>
      <c r="F62" s="13" t="s">
        <v>51</v>
      </c>
      <c r="G62" s="30">
        <v>0.5</v>
      </c>
      <c r="H62" s="30">
        <v>0.5</v>
      </c>
      <c r="I62" s="30">
        <f t="shared" si="7"/>
        <v>0</v>
      </c>
      <c r="J62" s="48" t="s">
        <v>194</v>
      </c>
      <c r="K62" s="28"/>
    </row>
    <row r="63" spans="1:11" ht="13.2" x14ac:dyDescent="0.25">
      <c r="A63" s="33" t="s">
        <v>137</v>
      </c>
      <c r="B63" s="28" t="s">
        <v>55</v>
      </c>
      <c r="C63" s="12" t="s">
        <v>16</v>
      </c>
      <c r="D63" s="28" t="s">
        <v>134</v>
      </c>
      <c r="E63" s="13" t="s">
        <v>67</v>
      </c>
      <c r="F63" s="13" t="s">
        <v>48</v>
      </c>
      <c r="G63" s="30">
        <v>1</v>
      </c>
      <c r="H63" s="30">
        <v>1.5</v>
      </c>
      <c r="I63" s="30">
        <f t="shared" si="7"/>
        <v>0.5</v>
      </c>
      <c r="J63" s="48" t="s">
        <v>154</v>
      </c>
      <c r="K63" s="28" t="s">
        <v>182</v>
      </c>
    </row>
    <row r="64" spans="1:11" ht="13.2" x14ac:dyDescent="0.25">
      <c r="A64" s="33" t="s">
        <v>137</v>
      </c>
      <c r="B64" s="28" t="s">
        <v>55</v>
      </c>
      <c r="C64" s="12" t="s">
        <v>16</v>
      </c>
      <c r="D64" s="28" t="s">
        <v>135</v>
      </c>
      <c r="E64" s="13" t="s">
        <v>53</v>
      </c>
      <c r="F64" s="13" t="s">
        <v>57</v>
      </c>
      <c r="G64" s="30">
        <v>3</v>
      </c>
      <c r="H64" s="30">
        <v>6</v>
      </c>
      <c r="I64" s="30">
        <f t="shared" si="7"/>
        <v>3</v>
      </c>
      <c r="J64" s="29"/>
      <c r="K64" s="28" t="s">
        <v>181</v>
      </c>
    </row>
    <row r="65" spans="1:11" ht="13.2" x14ac:dyDescent="0.25">
      <c r="A65" s="33" t="s">
        <v>137</v>
      </c>
      <c r="B65" s="28" t="s">
        <v>55</v>
      </c>
      <c r="C65" s="12" t="s">
        <v>16</v>
      </c>
      <c r="D65" s="28" t="s">
        <v>133</v>
      </c>
      <c r="E65" s="13" t="s">
        <v>45</v>
      </c>
      <c r="F65" s="13" t="s">
        <v>57</v>
      </c>
      <c r="G65" s="30">
        <v>1</v>
      </c>
      <c r="H65" s="30">
        <v>1</v>
      </c>
      <c r="I65" s="30">
        <f t="shared" si="7"/>
        <v>0</v>
      </c>
      <c r="J65" s="48" t="s">
        <v>148</v>
      </c>
      <c r="K65" s="28"/>
    </row>
    <row r="66" spans="1:11" ht="13.2" x14ac:dyDescent="0.25">
      <c r="A66" s="33">
        <v>45552</v>
      </c>
      <c r="B66" s="28" t="s">
        <v>55</v>
      </c>
      <c r="C66" s="12" t="s">
        <v>16</v>
      </c>
      <c r="D66" s="28" t="s">
        <v>139</v>
      </c>
      <c r="E66" s="13" t="s">
        <v>53</v>
      </c>
      <c r="F66" s="13" t="s">
        <v>54</v>
      </c>
      <c r="G66" s="30">
        <v>1</v>
      </c>
      <c r="H66" s="30">
        <v>0.2</v>
      </c>
      <c r="I66" s="30">
        <f t="shared" si="7"/>
        <v>-0.8</v>
      </c>
      <c r="J66" s="48" t="s">
        <v>142</v>
      </c>
      <c r="K66" s="28" t="s">
        <v>140</v>
      </c>
    </row>
    <row r="67" spans="1:11" ht="13.2" x14ac:dyDescent="0.25">
      <c r="A67" s="33">
        <v>45552</v>
      </c>
      <c r="B67" s="28" t="s">
        <v>55</v>
      </c>
      <c r="C67" s="12" t="s">
        <v>16</v>
      </c>
      <c r="D67" s="28" t="s">
        <v>138</v>
      </c>
      <c r="E67" s="13" t="s">
        <v>66</v>
      </c>
      <c r="F67" s="13" t="s">
        <v>54</v>
      </c>
      <c r="G67" s="30">
        <v>1</v>
      </c>
      <c r="H67" s="30">
        <v>1</v>
      </c>
      <c r="I67" s="30">
        <f t="shared" si="7"/>
        <v>0</v>
      </c>
      <c r="J67" s="29"/>
      <c r="K67" s="28"/>
    </row>
    <row r="68" spans="1:11" ht="13.2" x14ac:dyDescent="0.25">
      <c r="A68" s="33">
        <v>45552</v>
      </c>
      <c r="B68" s="28" t="s">
        <v>55</v>
      </c>
      <c r="C68" s="12" t="s">
        <v>16</v>
      </c>
      <c r="D68" s="28" t="s">
        <v>141</v>
      </c>
      <c r="E68" s="13" t="s">
        <v>64</v>
      </c>
      <c r="F68" s="13" t="s">
        <v>54</v>
      </c>
      <c r="G68" s="30">
        <v>0.5</v>
      </c>
      <c r="H68" s="30">
        <v>0.5</v>
      </c>
      <c r="I68" s="30">
        <f t="shared" si="7"/>
        <v>0</v>
      </c>
      <c r="J68" s="48" t="s">
        <v>143</v>
      </c>
      <c r="K68" s="28"/>
    </row>
    <row r="69" spans="1:11" ht="13.2" x14ac:dyDescent="0.25">
      <c r="A69" s="33">
        <v>45552</v>
      </c>
      <c r="B69" s="28" t="s">
        <v>55</v>
      </c>
      <c r="C69" s="12" t="s">
        <v>16</v>
      </c>
      <c r="D69" s="28" t="s">
        <v>144</v>
      </c>
      <c r="E69" s="13" t="s">
        <v>47</v>
      </c>
      <c r="F69" s="13" t="s">
        <v>51</v>
      </c>
      <c r="G69" s="30">
        <v>0.25</v>
      </c>
      <c r="H69" s="30">
        <v>0.25</v>
      </c>
      <c r="I69" s="30">
        <f t="shared" si="7"/>
        <v>0</v>
      </c>
      <c r="J69" s="29"/>
      <c r="K69" s="28"/>
    </row>
    <row r="70" spans="1:11" ht="13.2" x14ac:dyDescent="0.25">
      <c r="A70" s="33">
        <v>45552</v>
      </c>
      <c r="B70" s="28" t="s">
        <v>55</v>
      </c>
      <c r="C70" s="12" t="s">
        <v>16</v>
      </c>
      <c r="D70" s="28" t="s">
        <v>146</v>
      </c>
      <c r="E70" s="13" t="s">
        <v>62</v>
      </c>
      <c r="F70" s="13" t="s">
        <v>57</v>
      </c>
      <c r="G70" s="30">
        <v>2</v>
      </c>
      <c r="H70" s="30">
        <v>0.5</v>
      </c>
      <c r="I70" s="30">
        <f t="shared" si="7"/>
        <v>-1.5</v>
      </c>
      <c r="J70" s="48" t="s">
        <v>147</v>
      </c>
      <c r="K70" s="28" t="s">
        <v>149</v>
      </c>
    </row>
    <row r="71" spans="1:11" ht="13.2" x14ac:dyDescent="0.25">
      <c r="A71" s="33" t="s">
        <v>190</v>
      </c>
      <c r="B71" s="28" t="s">
        <v>55</v>
      </c>
      <c r="C71" s="12" t="s">
        <v>16</v>
      </c>
      <c r="D71" s="28" t="s">
        <v>151</v>
      </c>
      <c r="E71" s="13" t="s">
        <v>62</v>
      </c>
      <c r="F71" s="13" t="s">
        <v>57</v>
      </c>
      <c r="G71" s="30">
        <v>2</v>
      </c>
      <c r="H71" s="30">
        <v>2</v>
      </c>
      <c r="I71" s="30">
        <f t="shared" si="7"/>
        <v>0</v>
      </c>
      <c r="J71" s="48" t="s">
        <v>195</v>
      </c>
      <c r="K71" s="28"/>
    </row>
    <row r="72" spans="1:11" ht="13.2" x14ac:dyDescent="0.25">
      <c r="A72" s="33" t="s">
        <v>190</v>
      </c>
      <c r="B72" s="28" t="s">
        <v>55</v>
      </c>
      <c r="C72" s="12" t="s">
        <v>16</v>
      </c>
      <c r="D72" s="28" t="s">
        <v>150</v>
      </c>
      <c r="E72" s="13" t="s">
        <v>56</v>
      </c>
      <c r="F72" s="13" t="s">
        <v>57</v>
      </c>
      <c r="G72" s="30">
        <v>1</v>
      </c>
      <c r="H72" s="30">
        <v>1</v>
      </c>
      <c r="I72" s="30">
        <f t="shared" si="7"/>
        <v>0</v>
      </c>
      <c r="J72" s="48" t="s">
        <v>195</v>
      </c>
      <c r="K72" s="28"/>
    </row>
    <row r="73" spans="1:11" ht="13.2" x14ac:dyDescent="0.25">
      <c r="A73" s="33">
        <v>45552</v>
      </c>
      <c r="B73" s="28" t="s">
        <v>55</v>
      </c>
      <c r="C73" s="12" t="s">
        <v>16</v>
      </c>
      <c r="D73" s="28" t="s">
        <v>152</v>
      </c>
      <c r="E73" s="13" t="s">
        <v>46</v>
      </c>
      <c r="F73" s="13" t="s">
        <v>54</v>
      </c>
      <c r="G73" s="30">
        <v>0</v>
      </c>
      <c r="H73" s="30">
        <v>0.5</v>
      </c>
      <c r="I73" s="30">
        <f t="shared" si="7"/>
        <v>0.5</v>
      </c>
      <c r="J73" s="29"/>
      <c r="K73" s="28"/>
    </row>
    <row r="74" spans="1:11" ht="13.2" x14ac:dyDescent="0.25">
      <c r="A74" s="33">
        <v>45552</v>
      </c>
      <c r="B74" s="28" t="s">
        <v>55</v>
      </c>
      <c r="C74" s="12" t="s">
        <v>16</v>
      </c>
      <c r="D74" s="28" t="s">
        <v>153</v>
      </c>
      <c r="E74" s="13" t="s">
        <v>46</v>
      </c>
      <c r="F74" s="13" t="s">
        <v>54</v>
      </c>
      <c r="G74" s="30">
        <v>0</v>
      </c>
      <c r="H74" s="30">
        <v>0.5</v>
      </c>
      <c r="I74" s="30">
        <f t="shared" si="7"/>
        <v>0.5</v>
      </c>
      <c r="J74" s="29"/>
      <c r="K74" s="28"/>
    </row>
    <row r="75" spans="1:11" ht="13.2" x14ac:dyDescent="0.25">
      <c r="A75" s="33">
        <v>45552</v>
      </c>
      <c r="B75" s="28" t="s">
        <v>55</v>
      </c>
      <c r="C75" s="12" t="s">
        <v>16</v>
      </c>
      <c r="D75" s="28" t="s">
        <v>155</v>
      </c>
      <c r="E75" s="13" t="s">
        <v>45</v>
      </c>
      <c r="F75" s="13" t="s">
        <v>57</v>
      </c>
      <c r="G75" s="30">
        <v>1</v>
      </c>
      <c r="H75" s="30">
        <v>0.5</v>
      </c>
      <c r="I75" s="30">
        <f t="shared" si="7"/>
        <v>-0.5</v>
      </c>
      <c r="J75" s="48" t="s">
        <v>157</v>
      </c>
      <c r="K75" s="28" t="s">
        <v>156</v>
      </c>
    </row>
    <row r="76" spans="1:11" ht="13.2" x14ac:dyDescent="0.25">
      <c r="A76" s="33">
        <v>45552</v>
      </c>
      <c r="B76" s="28" t="s">
        <v>55</v>
      </c>
      <c r="C76" s="12" t="s">
        <v>16</v>
      </c>
      <c r="D76" s="28" t="s">
        <v>168</v>
      </c>
      <c r="E76" s="13" t="s">
        <v>62</v>
      </c>
      <c r="F76" s="13" t="s">
        <v>54</v>
      </c>
      <c r="G76" s="30">
        <v>0.5</v>
      </c>
      <c r="H76" s="30">
        <v>0.5</v>
      </c>
      <c r="I76" s="30">
        <f t="shared" si="7"/>
        <v>0</v>
      </c>
      <c r="J76" s="48" t="s">
        <v>196</v>
      </c>
      <c r="K76" s="28"/>
    </row>
    <row r="77" spans="1:11" ht="13.2" x14ac:dyDescent="0.25">
      <c r="A77" s="33">
        <v>45554</v>
      </c>
      <c r="B77" s="28" t="s">
        <v>55</v>
      </c>
      <c r="C77" s="12" t="s">
        <v>16</v>
      </c>
      <c r="D77" s="28" t="s">
        <v>179</v>
      </c>
      <c r="E77" s="13" t="s">
        <v>67</v>
      </c>
      <c r="F77" s="13" t="s">
        <v>57</v>
      </c>
      <c r="G77" s="30">
        <v>4</v>
      </c>
      <c r="H77" s="30">
        <v>1.25</v>
      </c>
      <c r="I77" s="30">
        <f t="shared" si="7"/>
        <v>-2.75</v>
      </c>
      <c r="J77" s="48" t="s">
        <v>180</v>
      </c>
      <c r="K77" s="28"/>
    </row>
    <row r="78" spans="1:11" ht="13.2" x14ac:dyDescent="0.25">
      <c r="A78" s="33">
        <v>45554</v>
      </c>
      <c r="B78" s="28" t="s">
        <v>55</v>
      </c>
      <c r="C78" s="12" t="s">
        <v>16</v>
      </c>
      <c r="D78" s="28" t="s">
        <v>189</v>
      </c>
      <c r="E78" s="13" t="s">
        <v>53</v>
      </c>
      <c r="F78" s="13" t="s">
        <v>57</v>
      </c>
      <c r="G78" s="30">
        <v>1</v>
      </c>
      <c r="H78" s="30">
        <v>1</v>
      </c>
      <c r="I78" s="30">
        <f t="shared" si="7"/>
        <v>0</v>
      </c>
      <c r="J78" s="48" t="s">
        <v>193</v>
      </c>
      <c r="K78" s="28"/>
    </row>
    <row r="79" spans="1:11" ht="13.2" x14ac:dyDescent="0.25">
      <c r="A79" s="33">
        <v>45555</v>
      </c>
      <c r="B79" s="28" t="s">
        <v>55</v>
      </c>
      <c r="C79" s="12" t="s">
        <v>16</v>
      </c>
      <c r="D79" s="28" t="s">
        <v>145</v>
      </c>
      <c r="E79" s="13" t="s">
        <v>47</v>
      </c>
      <c r="F79" s="13" t="s">
        <v>54</v>
      </c>
      <c r="G79" s="30">
        <v>0.25</v>
      </c>
      <c r="H79" s="30">
        <v>0.25</v>
      </c>
      <c r="I79" s="30">
        <f t="shared" si="7"/>
        <v>0</v>
      </c>
      <c r="J79" s="48"/>
      <c r="K79" s="28"/>
    </row>
    <row r="80" spans="1:11" ht="13.2" x14ac:dyDescent="0.25">
      <c r="A80" s="33">
        <v>45555</v>
      </c>
      <c r="B80" s="28" t="s">
        <v>55</v>
      </c>
      <c r="C80" s="12" t="s">
        <v>16</v>
      </c>
      <c r="D80" s="28" t="s">
        <v>183</v>
      </c>
      <c r="E80" s="13" t="s">
        <v>47</v>
      </c>
      <c r="F80" s="13" t="s">
        <v>57</v>
      </c>
      <c r="G80" s="30">
        <v>0.5</v>
      </c>
      <c r="H80" s="30">
        <v>0.6</v>
      </c>
      <c r="I80" s="30">
        <f t="shared" si="7"/>
        <v>9.9999999999999978E-2</v>
      </c>
      <c r="J80" s="48"/>
      <c r="K80" s="28"/>
    </row>
    <row r="81" spans="1:11" ht="13.2" x14ac:dyDescent="0.25">
      <c r="A81" s="33">
        <v>45555</v>
      </c>
      <c r="B81" s="28" t="s">
        <v>55</v>
      </c>
      <c r="C81" s="12" t="s">
        <v>16</v>
      </c>
      <c r="D81" s="28" t="s">
        <v>191</v>
      </c>
      <c r="E81" s="13" t="s">
        <v>53</v>
      </c>
      <c r="F81" s="13" t="s">
        <v>57</v>
      </c>
      <c r="G81" s="30">
        <v>0.5</v>
      </c>
      <c r="H81" s="30">
        <v>0.5</v>
      </c>
      <c r="I81" s="30">
        <f t="shared" si="7"/>
        <v>0</v>
      </c>
      <c r="J81" s="48" t="s">
        <v>193</v>
      </c>
      <c r="K81" s="28"/>
    </row>
    <row r="82" spans="1:11" ht="13.2" x14ac:dyDescent="0.25">
      <c r="A82" s="33">
        <v>45555</v>
      </c>
      <c r="B82" s="28" t="s">
        <v>55</v>
      </c>
      <c r="C82" s="12" t="s">
        <v>16</v>
      </c>
      <c r="D82" s="28" t="s">
        <v>184</v>
      </c>
      <c r="E82" s="13" t="s">
        <v>47</v>
      </c>
      <c r="F82" s="13" t="s">
        <v>57</v>
      </c>
      <c r="G82" s="30">
        <v>0.1</v>
      </c>
      <c r="H82" s="30">
        <v>0.1</v>
      </c>
      <c r="I82" s="30">
        <f t="shared" si="7"/>
        <v>0</v>
      </c>
      <c r="J82" s="48" t="s">
        <v>199</v>
      </c>
      <c r="K82" s="28"/>
    </row>
    <row r="83" spans="1:11" ht="13.2" x14ac:dyDescent="0.25">
      <c r="A83" s="33">
        <v>45555</v>
      </c>
      <c r="B83" s="28" t="s">
        <v>55</v>
      </c>
      <c r="C83" s="12" t="s">
        <v>16</v>
      </c>
      <c r="D83" s="28" t="s">
        <v>185</v>
      </c>
      <c r="E83" s="13" t="s">
        <v>66</v>
      </c>
      <c r="F83" s="13" t="s">
        <v>57</v>
      </c>
      <c r="G83" s="30">
        <v>3.9</v>
      </c>
      <c r="H83" s="30">
        <v>3</v>
      </c>
      <c r="I83" s="30">
        <f t="shared" si="7"/>
        <v>-0.89999999999999991</v>
      </c>
      <c r="J83" s="48"/>
      <c r="K83" s="28" t="s">
        <v>350</v>
      </c>
    </row>
    <row r="84" spans="1:11" ht="13.2" x14ac:dyDescent="0.25">
      <c r="A84" s="33">
        <v>45555</v>
      </c>
      <c r="B84" s="28" t="s">
        <v>55</v>
      </c>
      <c r="C84" s="12" t="s">
        <v>16</v>
      </c>
      <c r="D84" s="28" t="s">
        <v>192</v>
      </c>
      <c r="E84" s="13" t="s">
        <v>62</v>
      </c>
      <c r="F84" s="13" t="s">
        <v>51</v>
      </c>
      <c r="G84" s="30">
        <v>0.5</v>
      </c>
      <c r="H84" s="30">
        <v>0.5</v>
      </c>
      <c r="I84" s="30">
        <f t="shared" si="7"/>
        <v>0</v>
      </c>
      <c r="J84" s="48" t="s">
        <v>194</v>
      </c>
      <c r="K84" s="28"/>
    </row>
    <row r="85" spans="1:11" ht="13.2" x14ac:dyDescent="0.25">
      <c r="A85" s="33">
        <v>45555</v>
      </c>
      <c r="B85" s="28" t="s">
        <v>55</v>
      </c>
      <c r="C85" s="12" t="s">
        <v>16</v>
      </c>
      <c r="D85" s="28" t="s">
        <v>197</v>
      </c>
      <c r="E85" s="13" t="s">
        <v>46</v>
      </c>
      <c r="F85" s="13" t="s">
        <v>54</v>
      </c>
      <c r="G85" s="30">
        <v>0</v>
      </c>
      <c r="H85" s="30">
        <v>0.25</v>
      </c>
      <c r="I85" s="30">
        <f t="shared" si="7"/>
        <v>0.25</v>
      </c>
      <c r="J85" s="48"/>
      <c r="K85" s="28" t="s">
        <v>351</v>
      </c>
    </row>
    <row r="86" spans="1:11" ht="13.2" x14ac:dyDescent="0.25">
      <c r="A86" s="33">
        <v>45555</v>
      </c>
      <c r="B86" s="28" t="s">
        <v>55</v>
      </c>
      <c r="C86" s="12" t="s">
        <v>16</v>
      </c>
      <c r="D86" s="28" t="s">
        <v>200</v>
      </c>
      <c r="E86" s="13" t="s">
        <v>64</v>
      </c>
      <c r="F86" s="13" t="s">
        <v>57</v>
      </c>
      <c r="G86" s="30">
        <v>0.5</v>
      </c>
      <c r="H86" s="30">
        <v>0.5</v>
      </c>
      <c r="I86" s="30">
        <f t="shared" si="7"/>
        <v>0</v>
      </c>
      <c r="J86" s="48"/>
      <c r="K86" s="28"/>
    </row>
    <row r="87" spans="1:11" ht="13.2" x14ac:dyDescent="0.25">
      <c r="A87" s="33" t="s">
        <v>198</v>
      </c>
      <c r="B87" s="28" t="s">
        <v>55</v>
      </c>
      <c r="C87" s="12" t="s">
        <v>16</v>
      </c>
      <c r="D87" s="28" t="s">
        <v>186</v>
      </c>
      <c r="E87" s="13" t="s">
        <v>67</v>
      </c>
      <c r="F87" s="13" t="s">
        <v>17</v>
      </c>
      <c r="G87" s="30">
        <v>3</v>
      </c>
      <c r="H87" s="30">
        <v>0.75</v>
      </c>
      <c r="I87" s="30">
        <f t="shared" si="7"/>
        <v>-2.25</v>
      </c>
      <c r="J87" s="48"/>
      <c r="K87" s="28" t="s">
        <v>352</v>
      </c>
    </row>
    <row r="88" spans="1:11" ht="13.2" x14ac:dyDescent="0.25">
      <c r="A88" s="33">
        <v>45556</v>
      </c>
      <c r="B88" s="28" t="s">
        <v>55</v>
      </c>
      <c r="C88" s="12" t="s">
        <v>16</v>
      </c>
      <c r="D88" s="28" t="s">
        <v>187</v>
      </c>
      <c r="E88" s="13" t="s">
        <v>67</v>
      </c>
      <c r="F88" s="13" t="s">
        <v>17</v>
      </c>
      <c r="G88" s="30">
        <v>3</v>
      </c>
      <c r="H88" s="30">
        <v>0.75</v>
      </c>
      <c r="I88" s="30">
        <f t="shared" si="7"/>
        <v>-2.25</v>
      </c>
      <c r="J88" s="48"/>
      <c r="K88" s="28" t="s">
        <v>353</v>
      </c>
    </row>
    <row r="89" spans="1:11" ht="13.2" x14ac:dyDescent="0.25">
      <c r="A89" s="33">
        <v>45556</v>
      </c>
      <c r="B89" s="28" t="s">
        <v>55</v>
      </c>
      <c r="C89" s="12" t="s">
        <v>16</v>
      </c>
      <c r="D89" s="28" t="s">
        <v>188</v>
      </c>
      <c r="E89" s="13" t="s">
        <v>67</v>
      </c>
      <c r="F89" s="13" t="s">
        <v>17</v>
      </c>
      <c r="G89" s="30">
        <v>1.5</v>
      </c>
      <c r="H89" s="30">
        <v>1</v>
      </c>
      <c r="I89" s="30">
        <f t="shared" si="7"/>
        <v>-0.5</v>
      </c>
      <c r="J89" s="29"/>
      <c r="K89" s="28" t="s">
        <v>353</v>
      </c>
    </row>
    <row r="90" spans="1:11" ht="13.2" x14ac:dyDescent="0.25">
      <c r="A90" s="19"/>
      <c r="B90" s="21"/>
      <c r="C90" s="21"/>
      <c r="D90" s="21"/>
      <c r="E90" s="21" t="s">
        <v>18</v>
      </c>
      <c r="F90" s="21"/>
      <c r="G90" s="24">
        <f>SUM(G61:G89)</f>
        <v>34</v>
      </c>
      <c r="H90" s="24">
        <f>SUM(H61:H89)</f>
        <v>27</v>
      </c>
      <c r="I90" s="24">
        <f t="shared" si="7"/>
        <v>-7</v>
      </c>
      <c r="J90" s="25"/>
      <c r="K90" s="21"/>
    </row>
    <row r="91" spans="1:11" ht="18.75" customHeight="1" x14ac:dyDescent="0.25">
      <c r="A91" s="62" t="s">
        <v>22</v>
      </c>
      <c r="B91" s="56"/>
      <c r="C91" s="56"/>
      <c r="D91" s="56"/>
      <c r="E91" s="56"/>
      <c r="F91" s="56"/>
      <c r="G91" s="56"/>
      <c r="H91" s="56"/>
      <c r="I91" s="56"/>
      <c r="J91" s="56"/>
      <c r="K91" s="57"/>
    </row>
    <row r="92" spans="1:11" ht="13.2" x14ac:dyDescent="0.25">
      <c r="A92" s="34" t="s">
        <v>12</v>
      </c>
      <c r="B92" s="63" t="s">
        <v>13</v>
      </c>
      <c r="C92" s="56"/>
      <c r="D92" s="56"/>
      <c r="E92" s="56"/>
      <c r="F92" s="56"/>
      <c r="G92" s="56"/>
      <c r="H92" s="56"/>
      <c r="I92" s="56"/>
      <c r="J92" s="56"/>
      <c r="K92" s="57"/>
    </row>
    <row r="93" spans="1:11" ht="27.75" customHeight="1" x14ac:dyDescent="0.25">
      <c r="A93" s="35" t="s">
        <v>14</v>
      </c>
      <c r="B93" s="63" t="s">
        <v>15</v>
      </c>
      <c r="C93" s="56"/>
      <c r="D93" s="56"/>
      <c r="E93" s="56"/>
      <c r="F93" s="56"/>
      <c r="G93" s="56"/>
      <c r="H93" s="56"/>
      <c r="I93" s="56"/>
      <c r="J93" s="56"/>
      <c r="K93" s="57"/>
    </row>
    <row r="94" spans="1:11" ht="13.2" x14ac:dyDescent="0.25">
      <c r="A94" s="33">
        <v>45558</v>
      </c>
      <c r="B94" s="28" t="s">
        <v>55</v>
      </c>
      <c r="C94" s="12" t="s">
        <v>16</v>
      </c>
      <c r="D94" s="28" t="s">
        <v>132</v>
      </c>
      <c r="E94" s="13" t="s">
        <v>62</v>
      </c>
      <c r="F94" s="13" t="s">
        <v>54</v>
      </c>
      <c r="G94" s="30">
        <v>0.5</v>
      </c>
      <c r="H94" s="30">
        <v>0.5</v>
      </c>
      <c r="I94" s="30">
        <f t="shared" ref="I94:I152" si="8">H94-G94</f>
        <v>0</v>
      </c>
      <c r="J94" s="48" t="s">
        <v>213</v>
      </c>
      <c r="K94" s="28"/>
    </row>
    <row r="95" spans="1:11" ht="13.2" x14ac:dyDescent="0.25">
      <c r="A95" s="33">
        <v>45558</v>
      </c>
      <c r="B95" s="28" t="s">
        <v>55</v>
      </c>
      <c r="C95" s="12" t="s">
        <v>16</v>
      </c>
      <c r="D95" s="28" t="s">
        <v>201</v>
      </c>
      <c r="E95" s="13" t="s">
        <v>62</v>
      </c>
      <c r="F95" s="13" t="s">
        <v>54</v>
      </c>
      <c r="G95" s="30">
        <v>0.5</v>
      </c>
      <c r="H95" s="30">
        <v>0.5</v>
      </c>
      <c r="I95" s="30">
        <f t="shared" si="8"/>
        <v>0</v>
      </c>
      <c r="J95" s="48" t="s">
        <v>212</v>
      </c>
      <c r="K95" s="28"/>
    </row>
    <row r="96" spans="1:11" ht="13.2" x14ac:dyDescent="0.25">
      <c r="A96" s="33">
        <v>45558</v>
      </c>
      <c r="B96" s="28" t="s">
        <v>55</v>
      </c>
      <c r="C96" s="12" t="s">
        <v>16</v>
      </c>
      <c r="D96" s="28" t="s">
        <v>202</v>
      </c>
      <c r="E96" s="13" t="s">
        <v>53</v>
      </c>
      <c r="F96" s="13" t="s">
        <v>63</v>
      </c>
      <c r="G96" s="30">
        <v>1</v>
      </c>
      <c r="H96" s="30">
        <v>1</v>
      </c>
      <c r="I96" s="30">
        <f t="shared" si="8"/>
        <v>0</v>
      </c>
      <c r="J96" s="29"/>
      <c r="K96" s="28"/>
    </row>
    <row r="97" spans="1:11" ht="13.2" x14ac:dyDescent="0.25">
      <c r="A97" s="33">
        <v>45558</v>
      </c>
      <c r="B97" s="28" t="s">
        <v>55</v>
      </c>
      <c r="C97" s="12" t="s">
        <v>16</v>
      </c>
      <c r="D97" s="28" t="s">
        <v>203</v>
      </c>
      <c r="E97" s="13" t="s">
        <v>67</v>
      </c>
      <c r="F97" s="13" t="s">
        <v>63</v>
      </c>
      <c r="G97" s="30">
        <v>1</v>
      </c>
      <c r="H97" s="30">
        <v>0.25</v>
      </c>
      <c r="I97" s="30">
        <f t="shared" si="8"/>
        <v>-0.75</v>
      </c>
      <c r="J97" s="48" t="s">
        <v>215</v>
      </c>
      <c r="K97" s="28"/>
    </row>
    <row r="98" spans="1:11" ht="13.2" x14ac:dyDescent="0.25">
      <c r="A98" s="33">
        <v>45558</v>
      </c>
      <c r="B98" s="28" t="s">
        <v>55</v>
      </c>
      <c r="C98" s="12" t="s">
        <v>16</v>
      </c>
      <c r="D98" s="28" t="s">
        <v>206</v>
      </c>
      <c r="E98" s="13" t="s">
        <v>53</v>
      </c>
      <c r="F98" s="13" t="s">
        <v>63</v>
      </c>
      <c r="G98" s="30">
        <v>0.5</v>
      </c>
      <c r="H98" s="30">
        <v>0.25</v>
      </c>
      <c r="I98" s="30">
        <f t="shared" si="8"/>
        <v>-0.25</v>
      </c>
      <c r="J98" s="29"/>
      <c r="K98" s="28"/>
    </row>
    <row r="99" spans="1:11" ht="13.2" x14ac:dyDescent="0.25">
      <c r="A99" s="33">
        <v>45558</v>
      </c>
      <c r="B99" s="28" t="s">
        <v>55</v>
      </c>
      <c r="C99" s="12" t="s">
        <v>16</v>
      </c>
      <c r="D99" s="28" t="s">
        <v>204</v>
      </c>
      <c r="E99" s="13" t="s">
        <v>59</v>
      </c>
      <c r="F99" s="13" t="s">
        <v>63</v>
      </c>
      <c r="G99" s="30">
        <v>4</v>
      </c>
      <c r="H99" s="30">
        <v>2.75</v>
      </c>
      <c r="I99" s="30">
        <f t="shared" si="8"/>
        <v>-1.25</v>
      </c>
      <c r="J99" s="48" t="s">
        <v>214</v>
      </c>
      <c r="K99" s="28" t="s">
        <v>217</v>
      </c>
    </row>
    <row r="100" spans="1:11" ht="13.2" x14ac:dyDescent="0.25">
      <c r="A100" s="33">
        <v>45558</v>
      </c>
      <c r="B100" s="28" t="s">
        <v>61</v>
      </c>
      <c r="C100" s="12" t="s">
        <v>16</v>
      </c>
      <c r="D100" s="28" t="s">
        <v>205</v>
      </c>
      <c r="E100" s="13" t="s">
        <v>62</v>
      </c>
      <c r="F100" s="13" t="s">
        <v>54</v>
      </c>
      <c r="G100" s="30">
        <v>0.5</v>
      </c>
      <c r="H100" s="30">
        <v>0</v>
      </c>
      <c r="I100" s="30">
        <f t="shared" si="8"/>
        <v>-0.5</v>
      </c>
      <c r="J100" s="29"/>
      <c r="K100" s="28" t="s">
        <v>211</v>
      </c>
    </row>
    <row r="101" spans="1:11" ht="13.2" x14ac:dyDescent="0.25">
      <c r="A101" s="33">
        <v>45558</v>
      </c>
      <c r="B101" s="28" t="s">
        <v>55</v>
      </c>
      <c r="C101" s="12" t="s">
        <v>16</v>
      </c>
      <c r="D101" s="28" t="s">
        <v>207</v>
      </c>
      <c r="E101" s="13" t="s">
        <v>67</v>
      </c>
      <c r="F101" s="13" t="s">
        <v>63</v>
      </c>
      <c r="G101" s="30">
        <v>0.25</v>
      </c>
      <c r="H101" s="30">
        <v>0.25</v>
      </c>
      <c r="I101" s="30">
        <f t="shared" si="8"/>
        <v>0</v>
      </c>
      <c r="J101" s="29"/>
      <c r="K101" s="28"/>
    </row>
    <row r="102" spans="1:11" ht="13.2" x14ac:dyDescent="0.25">
      <c r="A102" s="33">
        <v>45558</v>
      </c>
      <c r="B102" s="28" t="s">
        <v>61</v>
      </c>
      <c r="C102" s="12" t="s">
        <v>16</v>
      </c>
      <c r="D102" s="28" t="s">
        <v>208</v>
      </c>
      <c r="E102" s="13" t="s">
        <v>64</v>
      </c>
      <c r="F102" s="13" t="s">
        <v>54</v>
      </c>
      <c r="G102" s="30">
        <v>0.5</v>
      </c>
      <c r="H102" s="30">
        <v>0</v>
      </c>
      <c r="I102" s="30">
        <f t="shared" si="8"/>
        <v>-0.5</v>
      </c>
      <c r="J102" s="29"/>
      <c r="K102" s="28" t="s">
        <v>354</v>
      </c>
    </row>
    <row r="103" spans="1:11" ht="13.2" x14ac:dyDescent="0.25">
      <c r="A103" s="33">
        <v>45558</v>
      </c>
      <c r="B103" s="28" t="s">
        <v>55</v>
      </c>
      <c r="C103" s="12" t="s">
        <v>16</v>
      </c>
      <c r="D103" s="28" t="s">
        <v>209</v>
      </c>
      <c r="E103" s="13" t="s">
        <v>64</v>
      </c>
      <c r="F103" s="13" t="s">
        <v>54</v>
      </c>
      <c r="G103" s="30">
        <v>0.5</v>
      </c>
      <c r="H103" s="30">
        <v>0.5</v>
      </c>
      <c r="I103" s="30">
        <f t="shared" si="8"/>
        <v>0</v>
      </c>
      <c r="J103" s="48" t="s">
        <v>226</v>
      </c>
      <c r="K103" s="28"/>
    </row>
    <row r="104" spans="1:11" ht="13.2" x14ac:dyDescent="0.25">
      <c r="A104" s="33">
        <v>45558</v>
      </c>
      <c r="B104" s="28" t="s">
        <v>55</v>
      </c>
      <c r="C104" s="12" t="s">
        <v>16</v>
      </c>
      <c r="D104" s="28" t="s">
        <v>210</v>
      </c>
      <c r="E104" s="13" t="s">
        <v>45</v>
      </c>
      <c r="F104" s="13" t="s">
        <v>54</v>
      </c>
      <c r="G104" s="30">
        <v>0.5</v>
      </c>
      <c r="H104" s="30">
        <v>0.5</v>
      </c>
      <c r="I104" s="30">
        <f t="shared" si="8"/>
        <v>0</v>
      </c>
      <c r="J104" s="48" t="s">
        <v>216</v>
      </c>
      <c r="K104" s="28"/>
    </row>
    <row r="105" spans="1:11" ht="13.2" x14ac:dyDescent="0.25">
      <c r="A105" s="33">
        <v>45559</v>
      </c>
      <c r="B105" s="28" t="s">
        <v>55</v>
      </c>
      <c r="C105" s="12" t="s">
        <v>16</v>
      </c>
      <c r="D105" s="28" t="s">
        <v>201</v>
      </c>
      <c r="E105" s="13" t="s">
        <v>62</v>
      </c>
      <c r="F105" s="13" t="s">
        <v>54</v>
      </c>
      <c r="G105" s="30">
        <v>0.25</v>
      </c>
      <c r="H105" s="30">
        <v>0.25</v>
      </c>
      <c r="I105" s="30">
        <f t="shared" si="8"/>
        <v>0</v>
      </c>
      <c r="J105" s="48" t="s">
        <v>226</v>
      </c>
      <c r="K105" s="28"/>
    </row>
    <row r="106" spans="1:11" ht="13.2" x14ac:dyDescent="0.25">
      <c r="A106" s="33">
        <v>45559</v>
      </c>
      <c r="B106" s="28" t="s">
        <v>55</v>
      </c>
      <c r="C106" s="12" t="s">
        <v>16</v>
      </c>
      <c r="D106" s="28" t="s">
        <v>219</v>
      </c>
      <c r="E106" s="13" t="s">
        <v>47</v>
      </c>
      <c r="F106" s="13" t="s">
        <v>54</v>
      </c>
      <c r="G106" s="30">
        <v>0.25</v>
      </c>
      <c r="H106" s="30">
        <v>0.25</v>
      </c>
      <c r="I106" s="30">
        <f t="shared" si="8"/>
        <v>0</v>
      </c>
      <c r="J106" s="48"/>
      <c r="K106" s="28"/>
    </row>
    <row r="107" spans="1:11" ht="13.2" x14ac:dyDescent="0.25">
      <c r="A107" s="33">
        <v>45559</v>
      </c>
      <c r="B107" s="28" t="s">
        <v>55</v>
      </c>
      <c r="C107" s="12" t="s">
        <v>16</v>
      </c>
      <c r="D107" s="28" t="s">
        <v>218</v>
      </c>
      <c r="E107" s="13" t="s">
        <v>47</v>
      </c>
      <c r="F107" s="13" t="s">
        <v>63</v>
      </c>
      <c r="G107" s="30">
        <v>0.5</v>
      </c>
      <c r="H107" s="30">
        <v>0.5</v>
      </c>
      <c r="I107" s="30">
        <f t="shared" si="8"/>
        <v>0</v>
      </c>
      <c r="J107" s="48" t="s">
        <v>228</v>
      </c>
      <c r="K107" s="28"/>
    </row>
    <row r="108" spans="1:11" ht="13.2" x14ac:dyDescent="0.25">
      <c r="A108" s="33">
        <v>45559</v>
      </c>
      <c r="B108" s="28" t="s">
        <v>55</v>
      </c>
      <c r="C108" s="12" t="s">
        <v>16</v>
      </c>
      <c r="D108" s="28" t="s">
        <v>220</v>
      </c>
      <c r="E108" s="13" t="s">
        <v>67</v>
      </c>
      <c r="F108" s="13" t="s">
        <v>63</v>
      </c>
      <c r="G108" s="30">
        <v>1</v>
      </c>
      <c r="H108" s="30">
        <v>0.5</v>
      </c>
      <c r="I108" s="30">
        <f t="shared" si="8"/>
        <v>-0.5</v>
      </c>
      <c r="J108" s="48" t="s">
        <v>230</v>
      </c>
      <c r="K108" s="28" t="s">
        <v>236</v>
      </c>
    </row>
    <row r="109" spans="1:11" ht="13.2" x14ac:dyDescent="0.25">
      <c r="A109" s="33">
        <v>45559</v>
      </c>
      <c r="B109" s="28" t="s">
        <v>55</v>
      </c>
      <c r="C109" s="12" t="s">
        <v>16</v>
      </c>
      <c r="D109" s="28" t="s">
        <v>227</v>
      </c>
      <c r="E109" s="13" t="s">
        <v>64</v>
      </c>
      <c r="F109" s="13" t="s">
        <v>54</v>
      </c>
      <c r="G109" s="30">
        <v>0.25</v>
      </c>
      <c r="H109" s="30">
        <v>0.25</v>
      </c>
      <c r="I109" s="30">
        <f t="shared" si="8"/>
        <v>0</v>
      </c>
      <c r="J109" s="48" t="s">
        <v>231</v>
      </c>
      <c r="K109" s="28"/>
    </row>
    <row r="110" spans="1:11" ht="13.2" x14ac:dyDescent="0.25">
      <c r="A110" s="33">
        <v>45559</v>
      </c>
      <c r="B110" s="28" t="s">
        <v>55</v>
      </c>
      <c r="C110" s="12" t="s">
        <v>16</v>
      </c>
      <c r="D110" s="28" t="s">
        <v>221</v>
      </c>
      <c r="E110" s="13" t="s">
        <v>67</v>
      </c>
      <c r="F110" s="13" t="s">
        <v>63</v>
      </c>
      <c r="G110" s="30">
        <v>1</v>
      </c>
      <c r="H110" s="30">
        <v>0.25</v>
      </c>
      <c r="I110" s="30">
        <f t="shared" si="8"/>
        <v>-0.75</v>
      </c>
      <c r="J110" s="48" t="s">
        <v>230</v>
      </c>
      <c r="K110" s="28" t="s">
        <v>234</v>
      </c>
    </row>
    <row r="111" spans="1:11" ht="13.2" x14ac:dyDescent="0.25">
      <c r="A111" s="33">
        <v>45559</v>
      </c>
      <c r="B111" s="28" t="s">
        <v>55</v>
      </c>
      <c r="C111" s="12" t="s">
        <v>16</v>
      </c>
      <c r="D111" s="28" t="s">
        <v>222</v>
      </c>
      <c r="E111" s="13" t="s">
        <v>66</v>
      </c>
      <c r="F111" s="13" t="s">
        <v>63</v>
      </c>
      <c r="G111" s="30">
        <v>1</v>
      </c>
      <c r="H111" s="30">
        <v>1</v>
      </c>
      <c r="I111" s="30">
        <f t="shared" si="8"/>
        <v>0</v>
      </c>
      <c r="J111" s="48"/>
      <c r="K111" s="28"/>
    </row>
    <row r="112" spans="1:11" ht="13.2" x14ac:dyDescent="0.25">
      <c r="A112" s="33">
        <v>45559</v>
      </c>
      <c r="B112" s="28" t="s">
        <v>55</v>
      </c>
      <c r="C112" s="12" t="s">
        <v>16</v>
      </c>
      <c r="D112" s="28" t="s">
        <v>223</v>
      </c>
      <c r="E112" s="13" t="s">
        <v>66</v>
      </c>
      <c r="F112" s="13" t="s">
        <v>63</v>
      </c>
      <c r="G112" s="30">
        <v>1</v>
      </c>
      <c r="H112" s="30">
        <v>1.25</v>
      </c>
      <c r="I112" s="30">
        <f t="shared" si="8"/>
        <v>0.25</v>
      </c>
      <c r="J112" s="48" t="s">
        <v>241</v>
      </c>
      <c r="K112" s="28" t="s">
        <v>355</v>
      </c>
    </row>
    <row r="113" spans="1:11" ht="13.2" x14ac:dyDescent="0.25">
      <c r="A113" s="33">
        <v>45559</v>
      </c>
      <c r="B113" s="28" t="s">
        <v>55</v>
      </c>
      <c r="C113" s="12" t="s">
        <v>16</v>
      </c>
      <c r="D113" s="28" t="s">
        <v>224</v>
      </c>
      <c r="E113" s="13" t="s">
        <v>67</v>
      </c>
      <c r="F113" s="13" t="s">
        <v>63</v>
      </c>
      <c r="G113" s="30">
        <v>1</v>
      </c>
      <c r="H113" s="30">
        <v>0.5</v>
      </c>
      <c r="I113" s="30">
        <f t="shared" si="8"/>
        <v>-0.5</v>
      </c>
      <c r="J113" s="48" t="s">
        <v>229</v>
      </c>
      <c r="K113" s="28" t="s">
        <v>235</v>
      </c>
    </row>
    <row r="114" spans="1:11" ht="13.2" x14ac:dyDescent="0.25">
      <c r="A114" s="33">
        <v>45559</v>
      </c>
      <c r="B114" s="28" t="s">
        <v>55</v>
      </c>
      <c r="C114" s="12" t="s">
        <v>16</v>
      </c>
      <c r="D114" s="28" t="s">
        <v>225</v>
      </c>
      <c r="E114" s="13" t="s">
        <v>47</v>
      </c>
      <c r="F114" s="13" t="s">
        <v>63</v>
      </c>
      <c r="G114" s="30">
        <v>1</v>
      </c>
      <c r="H114" s="30">
        <v>0.5</v>
      </c>
      <c r="I114" s="30">
        <f t="shared" si="8"/>
        <v>-0.5</v>
      </c>
      <c r="J114" s="48"/>
      <c r="K114" s="28"/>
    </row>
    <row r="115" spans="1:11" ht="13.2" x14ac:dyDescent="0.25">
      <c r="A115" s="33">
        <v>45559</v>
      </c>
      <c r="B115" s="28" t="s">
        <v>55</v>
      </c>
      <c r="C115" s="12" t="s">
        <v>16</v>
      </c>
      <c r="D115" s="28" t="s">
        <v>209</v>
      </c>
      <c r="E115" s="13" t="s">
        <v>64</v>
      </c>
      <c r="F115" s="13" t="s">
        <v>54</v>
      </c>
      <c r="G115" s="30">
        <v>0.5</v>
      </c>
      <c r="H115" s="30">
        <v>0.25</v>
      </c>
      <c r="I115" s="30">
        <f t="shared" si="8"/>
        <v>-0.25</v>
      </c>
      <c r="J115" s="48" t="s">
        <v>237</v>
      </c>
      <c r="K115" s="28"/>
    </row>
    <row r="116" spans="1:11" ht="13.2" x14ac:dyDescent="0.25">
      <c r="A116" s="33">
        <v>45559</v>
      </c>
      <c r="B116" s="28" t="s">
        <v>55</v>
      </c>
      <c r="C116" s="12" t="s">
        <v>16</v>
      </c>
      <c r="D116" s="28" t="s">
        <v>232</v>
      </c>
      <c r="E116" s="13" t="s">
        <v>46</v>
      </c>
      <c r="F116" s="13" t="s">
        <v>51</v>
      </c>
      <c r="G116" s="30">
        <v>0</v>
      </c>
      <c r="H116" s="30">
        <v>0.2</v>
      </c>
      <c r="I116" s="30">
        <f t="shared" si="8"/>
        <v>0.2</v>
      </c>
      <c r="J116" s="48"/>
      <c r="K116" s="28"/>
    </row>
    <row r="117" spans="1:11" ht="13.2" x14ac:dyDescent="0.25">
      <c r="A117" s="33">
        <v>45559</v>
      </c>
      <c r="B117" s="28" t="s">
        <v>55</v>
      </c>
      <c r="C117" s="12" t="s">
        <v>16</v>
      </c>
      <c r="D117" s="28" t="s">
        <v>233</v>
      </c>
      <c r="E117" s="13" t="s">
        <v>64</v>
      </c>
      <c r="F117" s="13" t="s">
        <v>54</v>
      </c>
      <c r="G117" s="30">
        <v>0.5</v>
      </c>
      <c r="H117" s="30">
        <v>0.5</v>
      </c>
      <c r="I117" s="30">
        <f t="shared" si="8"/>
        <v>0</v>
      </c>
      <c r="J117" s="48" t="s">
        <v>237</v>
      </c>
      <c r="K117" s="28"/>
    </row>
    <row r="118" spans="1:11" ht="13.2" x14ac:dyDescent="0.25">
      <c r="A118" s="33">
        <v>45559</v>
      </c>
      <c r="B118" s="28" t="s">
        <v>55</v>
      </c>
      <c r="C118" s="12" t="s">
        <v>16</v>
      </c>
      <c r="D118" s="28" t="s">
        <v>238</v>
      </c>
      <c r="E118" s="13" t="s">
        <v>53</v>
      </c>
      <c r="F118" s="13" t="s">
        <v>63</v>
      </c>
      <c r="G118" s="30">
        <v>0.75</v>
      </c>
      <c r="H118" s="30">
        <v>0.75</v>
      </c>
      <c r="I118" s="30">
        <f t="shared" si="8"/>
        <v>0</v>
      </c>
      <c r="J118" s="48" t="s">
        <v>242</v>
      </c>
      <c r="K118" s="28"/>
    </row>
    <row r="119" spans="1:11" ht="13.2" x14ac:dyDescent="0.25">
      <c r="A119" s="33">
        <v>45559</v>
      </c>
      <c r="B119" s="28" t="s">
        <v>55</v>
      </c>
      <c r="C119" s="12" t="s">
        <v>16</v>
      </c>
      <c r="D119" s="28" t="s">
        <v>240</v>
      </c>
      <c r="E119" s="13" t="s">
        <v>64</v>
      </c>
      <c r="F119" s="13" t="s">
        <v>54</v>
      </c>
      <c r="G119" s="30">
        <v>0.25</v>
      </c>
      <c r="H119" s="30">
        <v>0.25</v>
      </c>
      <c r="I119" s="30">
        <f t="shared" si="8"/>
        <v>0</v>
      </c>
      <c r="J119" s="48" t="s">
        <v>243</v>
      </c>
      <c r="K119" s="28"/>
    </row>
    <row r="120" spans="1:11" ht="13.2" x14ac:dyDescent="0.25">
      <c r="A120" s="33" t="s">
        <v>250</v>
      </c>
      <c r="B120" s="28" t="s">
        <v>55</v>
      </c>
      <c r="C120" s="12" t="s">
        <v>16</v>
      </c>
      <c r="D120" s="28" t="s">
        <v>239</v>
      </c>
      <c r="E120" s="13" t="s">
        <v>67</v>
      </c>
      <c r="F120" s="13" t="s">
        <v>48</v>
      </c>
      <c r="G120" s="30">
        <v>1</v>
      </c>
      <c r="H120" s="30">
        <v>1.25</v>
      </c>
      <c r="I120" s="30">
        <f t="shared" si="8"/>
        <v>0.25</v>
      </c>
      <c r="J120" s="48" t="s">
        <v>277</v>
      </c>
      <c r="K120" s="28" t="s">
        <v>269</v>
      </c>
    </row>
    <row r="121" spans="1:11" ht="13.2" x14ac:dyDescent="0.25">
      <c r="A121" s="33">
        <v>45559</v>
      </c>
      <c r="B121" s="28" t="s">
        <v>55</v>
      </c>
      <c r="C121" s="12" t="s">
        <v>16</v>
      </c>
      <c r="D121" s="28" t="s">
        <v>244</v>
      </c>
      <c r="E121" s="13" t="s">
        <v>53</v>
      </c>
      <c r="F121" s="13" t="s">
        <v>63</v>
      </c>
      <c r="G121" s="30">
        <v>0.5</v>
      </c>
      <c r="H121" s="30">
        <v>0.5</v>
      </c>
      <c r="I121" s="30">
        <f t="shared" si="8"/>
        <v>0</v>
      </c>
      <c r="J121" s="48" t="s">
        <v>245</v>
      </c>
      <c r="K121" s="28"/>
    </row>
    <row r="122" spans="1:11" ht="13.2" x14ac:dyDescent="0.25">
      <c r="A122" s="33">
        <v>45560</v>
      </c>
      <c r="B122" s="28" t="s">
        <v>55</v>
      </c>
      <c r="C122" s="12" t="s">
        <v>16</v>
      </c>
      <c r="D122" s="28" t="s">
        <v>201</v>
      </c>
      <c r="E122" s="13" t="s">
        <v>62</v>
      </c>
      <c r="F122" s="13" t="s">
        <v>54</v>
      </c>
      <c r="G122" s="30">
        <v>0.25</v>
      </c>
      <c r="H122" s="30">
        <v>0.25</v>
      </c>
      <c r="I122" s="30">
        <f t="shared" si="8"/>
        <v>0</v>
      </c>
      <c r="J122" s="48" t="s">
        <v>275</v>
      </c>
      <c r="K122" s="28"/>
    </row>
    <row r="123" spans="1:11" ht="13.2" x14ac:dyDescent="0.25">
      <c r="A123" s="33">
        <v>45560</v>
      </c>
      <c r="B123" s="28" t="s">
        <v>55</v>
      </c>
      <c r="C123" s="12" t="s">
        <v>16</v>
      </c>
      <c r="D123" s="28" t="s">
        <v>246</v>
      </c>
      <c r="E123" s="13" t="s">
        <v>67</v>
      </c>
      <c r="F123" s="13" t="s">
        <v>63</v>
      </c>
      <c r="G123" s="30">
        <v>0.5</v>
      </c>
      <c r="H123" s="30">
        <v>0.25</v>
      </c>
      <c r="I123" s="30">
        <f t="shared" si="8"/>
        <v>-0.25</v>
      </c>
      <c r="J123" s="48"/>
      <c r="K123" s="28"/>
    </row>
    <row r="124" spans="1:11" ht="13.2" x14ac:dyDescent="0.25">
      <c r="A124" s="33">
        <v>45560</v>
      </c>
      <c r="B124" s="28" t="s">
        <v>55</v>
      </c>
      <c r="C124" s="12" t="s">
        <v>16</v>
      </c>
      <c r="D124" s="28" t="s">
        <v>248</v>
      </c>
      <c r="E124" s="13" t="s">
        <v>67</v>
      </c>
      <c r="F124" s="13" t="s">
        <v>63</v>
      </c>
      <c r="G124" s="30">
        <v>0.5</v>
      </c>
      <c r="H124" s="30">
        <v>0.5</v>
      </c>
      <c r="I124" s="30">
        <f t="shared" si="8"/>
        <v>0</v>
      </c>
      <c r="J124" s="48" t="s">
        <v>279</v>
      </c>
      <c r="K124" s="28" t="s">
        <v>270</v>
      </c>
    </row>
    <row r="125" spans="1:11" ht="13.2" x14ac:dyDescent="0.25">
      <c r="A125" s="33">
        <v>45560</v>
      </c>
      <c r="B125" s="28" t="s">
        <v>55</v>
      </c>
      <c r="C125" s="12" t="s">
        <v>16</v>
      </c>
      <c r="D125" s="28" t="s">
        <v>249</v>
      </c>
      <c r="E125" s="13" t="s">
        <v>67</v>
      </c>
      <c r="F125" s="13" t="s">
        <v>63</v>
      </c>
      <c r="G125" s="30">
        <v>0.5</v>
      </c>
      <c r="H125" s="30">
        <v>0.5</v>
      </c>
      <c r="I125" s="30">
        <f t="shared" si="8"/>
        <v>0</v>
      </c>
      <c r="J125" s="48" t="s">
        <v>278</v>
      </c>
      <c r="K125" s="28" t="s">
        <v>271</v>
      </c>
    </row>
    <row r="126" spans="1:11" ht="13.2" x14ac:dyDescent="0.25">
      <c r="A126" s="33">
        <v>45560</v>
      </c>
      <c r="B126" s="28" t="s">
        <v>55</v>
      </c>
      <c r="C126" s="12" t="s">
        <v>16</v>
      </c>
      <c r="D126" s="28" t="s">
        <v>272</v>
      </c>
      <c r="E126" s="13" t="s">
        <v>59</v>
      </c>
      <c r="F126" s="13" t="s">
        <v>63</v>
      </c>
      <c r="G126" s="30">
        <v>1</v>
      </c>
      <c r="H126" s="30">
        <v>0.15</v>
      </c>
      <c r="I126" s="30">
        <f t="shared" si="8"/>
        <v>-0.85</v>
      </c>
      <c r="J126" s="48"/>
      <c r="K126" s="28"/>
    </row>
    <row r="127" spans="1:11" ht="13.2" x14ac:dyDescent="0.25">
      <c r="A127" s="33">
        <v>45560</v>
      </c>
      <c r="B127" s="28" t="s">
        <v>55</v>
      </c>
      <c r="C127" s="12" t="s">
        <v>16</v>
      </c>
      <c r="D127" s="28" t="s">
        <v>251</v>
      </c>
      <c r="E127" s="13" t="s">
        <v>59</v>
      </c>
      <c r="F127" s="13" t="s">
        <v>63</v>
      </c>
      <c r="G127" s="30">
        <v>4</v>
      </c>
      <c r="H127" s="30">
        <v>0.5</v>
      </c>
      <c r="I127" s="30">
        <f t="shared" si="8"/>
        <v>-3.5</v>
      </c>
      <c r="J127" s="48" t="s">
        <v>280</v>
      </c>
      <c r="K127" s="28" t="s">
        <v>273</v>
      </c>
    </row>
    <row r="128" spans="1:11" ht="13.2" x14ac:dyDescent="0.25">
      <c r="A128" s="33">
        <v>45560</v>
      </c>
      <c r="B128" s="28" t="s">
        <v>55</v>
      </c>
      <c r="C128" s="12" t="s">
        <v>16</v>
      </c>
      <c r="D128" s="28" t="s">
        <v>247</v>
      </c>
      <c r="E128" s="13" t="s">
        <v>45</v>
      </c>
      <c r="F128" s="13" t="s">
        <v>63</v>
      </c>
      <c r="G128" s="30">
        <v>1</v>
      </c>
      <c r="H128" s="30">
        <v>0.25</v>
      </c>
      <c r="I128" s="30">
        <f t="shared" si="8"/>
        <v>-0.75</v>
      </c>
      <c r="J128" s="48" t="s">
        <v>281</v>
      </c>
      <c r="K128" s="28" t="s">
        <v>274</v>
      </c>
    </row>
    <row r="129" spans="1:11" ht="13.2" x14ac:dyDescent="0.25">
      <c r="A129" s="33">
        <v>45560</v>
      </c>
      <c r="B129" s="28" t="s">
        <v>55</v>
      </c>
      <c r="C129" s="12" t="s">
        <v>16</v>
      </c>
      <c r="D129" s="28" t="s">
        <v>252</v>
      </c>
      <c r="E129" s="13" t="s">
        <v>64</v>
      </c>
      <c r="F129" s="13" t="s">
        <v>54</v>
      </c>
      <c r="G129" s="30">
        <v>0.25</v>
      </c>
      <c r="H129" s="30">
        <v>0.25</v>
      </c>
      <c r="I129" s="30">
        <f t="shared" si="8"/>
        <v>0</v>
      </c>
      <c r="J129" s="48" t="s">
        <v>282</v>
      </c>
      <c r="K129" s="28"/>
    </row>
    <row r="130" spans="1:11" ht="13.2" x14ac:dyDescent="0.25">
      <c r="A130" s="33">
        <v>45561</v>
      </c>
      <c r="B130" s="28" t="s">
        <v>55</v>
      </c>
      <c r="C130" s="12" t="s">
        <v>16</v>
      </c>
      <c r="D130" s="28" t="s">
        <v>256</v>
      </c>
      <c r="E130" s="13" t="s">
        <v>53</v>
      </c>
      <c r="F130" s="13" t="s">
        <v>48</v>
      </c>
      <c r="G130" s="30">
        <v>0.25</v>
      </c>
      <c r="H130" s="30">
        <v>0.25</v>
      </c>
      <c r="I130" s="30">
        <f t="shared" si="8"/>
        <v>0</v>
      </c>
      <c r="J130" s="48" t="s">
        <v>276</v>
      </c>
      <c r="K130" s="28"/>
    </row>
    <row r="131" spans="1:11" ht="13.2" x14ac:dyDescent="0.25">
      <c r="A131" s="33">
        <v>45561</v>
      </c>
      <c r="B131" s="28" t="s">
        <v>55</v>
      </c>
      <c r="C131" s="12" t="s">
        <v>16</v>
      </c>
      <c r="D131" s="28" t="s">
        <v>257</v>
      </c>
      <c r="E131" s="13" t="s">
        <v>64</v>
      </c>
      <c r="F131" s="13" t="s">
        <v>54</v>
      </c>
      <c r="G131" s="30">
        <v>0.5</v>
      </c>
      <c r="H131" s="30">
        <v>0.5</v>
      </c>
      <c r="I131" s="30">
        <f t="shared" ref="I131:I150" si="9">H131-G131</f>
        <v>0</v>
      </c>
      <c r="J131" s="48" t="s">
        <v>283</v>
      </c>
      <c r="K131" s="28"/>
    </row>
    <row r="132" spans="1:11" ht="13.2" x14ac:dyDescent="0.25">
      <c r="A132" s="33">
        <v>45561</v>
      </c>
      <c r="B132" s="28" t="s">
        <v>55</v>
      </c>
      <c r="C132" s="12" t="s">
        <v>16</v>
      </c>
      <c r="D132" s="28" t="s">
        <v>258</v>
      </c>
      <c r="E132" s="13" t="s">
        <v>64</v>
      </c>
      <c r="F132" s="13" t="s">
        <v>54</v>
      </c>
      <c r="G132" s="30">
        <v>0.5</v>
      </c>
      <c r="H132" s="30">
        <v>0.5</v>
      </c>
      <c r="I132" s="30">
        <f t="shared" si="9"/>
        <v>0</v>
      </c>
      <c r="J132" s="48" t="s">
        <v>282</v>
      </c>
      <c r="K132" s="28"/>
    </row>
    <row r="133" spans="1:11" ht="13.2" x14ac:dyDescent="0.25">
      <c r="A133" s="33">
        <v>45561</v>
      </c>
      <c r="B133" s="28" t="s">
        <v>55</v>
      </c>
      <c r="C133" s="12" t="s">
        <v>16</v>
      </c>
      <c r="D133" s="28" t="s">
        <v>259</v>
      </c>
      <c r="E133" s="13" t="s">
        <v>53</v>
      </c>
      <c r="F133" s="13" t="s">
        <v>54</v>
      </c>
      <c r="G133" s="30">
        <v>0.25</v>
      </c>
      <c r="H133" s="30">
        <v>0.25</v>
      </c>
      <c r="I133" s="30">
        <f t="shared" si="9"/>
        <v>0</v>
      </c>
      <c r="J133" s="48"/>
      <c r="K133" s="28"/>
    </row>
    <row r="134" spans="1:11" ht="13.2" x14ac:dyDescent="0.25">
      <c r="A134" s="33">
        <v>45561</v>
      </c>
      <c r="B134" s="28" t="s">
        <v>55</v>
      </c>
      <c r="C134" s="12" t="s">
        <v>16</v>
      </c>
      <c r="D134" s="28" t="s">
        <v>260</v>
      </c>
      <c r="E134" s="13" t="s">
        <v>64</v>
      </c>
      <c r="F134" s="13" t="s">
        <v>54</v>
      </c>
      <c r="G134" s="30">
        <v>0.5</v>
      </c>
      <c r="H134" s="30">
        <v>0.5</v>
      </c>
      <c r="I134" s="30">
        <f t="shared" si="9"/>
        <v>0</v>
      </c>
      <c r="J134" s="48" t="s">
        <v>275</v>
      </c>
      <c r="K134" s="28"/>
    </row>
    <row r="135" spans="1:11" ht="13.2" x14ac:dyDescent="0.25">
      <c r="A135" s="33">
        <v>45562</v>
      </c>
      <c r="B135" s="28" t="s">
        <v>55</v>
      </c>
      <c r="C135" s="12" t="s">
        <v>16</v>
      </c>
      <c r="D135" s="28" t="s">
        <v>201</v>
      </c>
      <c r="E135" s="13" t="s">
        <v>62</v>
      </c>
      <c r="F135" s="13" t="s">
        <v>54</v>
      </c>
      <c r="G135" s="30">
        <v>0.5</v>
      </c>
      <c r="H135" s="30">
        <v>0.5</v>
      </c>
      <c r="I135" s="30">
        <f t="shared" si="9"/>
        <v>0</v>
      </c>
      <c r="J135" s="48" t="s">
        <v>294</v>
      </c>
      <c r="K135" s="28"/>
    </row>
    <row r="136" spans="1:11" ht="13.2" x14ac:dyDescent="0.25">
      <c r="A136" s="33">
        <v>45562</v>
      </c>
      <c r="B136" s="28" t="s">
        <v>55</v>
      </c>
      <c r="C136" s="12" t="s">
        <v>16</v>
      </c>
      <c r="D136" s="28" t="s">
        <v>289</v>
      </c>
      <c r="E136" s="13" t="s">
        <v>47</v>
      </c>
      <c r="F136" s="13" t="s">
        <v>54</v>
      </c>
      <c r="G136" s="30">
        <v>0.25</v>
      </c>
      <c r="H136" s="30">
        <v>0.25</v>
      </c>
      <c r="I136" s="30">
        <f t="shared" si="9"/>
        <v>0</v>
      </c>
      <c r="K136" s="50"/>
    </row>
    <row r="137" spans="1:11" ht="13.2" x14ac:dyDescent="0.25">
      <c r="A137" s="33">
        <v>45562</v>
      </c>
      <c r="B137" s="28" t="s">
        <v>55</v>
      </c>
      <c r="C137" s="12" t="s">
        <v>16</v>
      </c>
      <c r="D137" s="28" t="s">
        <v>284</v>
      </c>
      <c r="E137" s="13" t="s">
        <v>47</v>
      </c>
      <c r="F137" s="13" t="s">
        <v>63</v>
      </c>
      <c r="G137" s="30">
        <v>0.5</v>
      </c>
      <c r="H137" s="30">
        <v>0.65</v>
      </c>
      <c r="I137" s="30">
        <f t="shared" si="9"/>
        <v>0.15000000000000002</v>
      </c>
      <c r="K137" s="50"/>
    </row>
    <row r="138" spans="1:11" ht="13.2" x14ac:dyDescent="0.25">
      <c r="A138" s="33">
        <v>45562</v>
      </c>
      <c r="B138" s="28" t="s">
        <v>55</v>
      </c>
      <c r="C138" s="12" t="s">
        <v>16</v>
      </c>
      <c r="D138" s="28" t="s">
        <v>218</v>
      </c>
      <c r="E138" s="13" t="s">
        <v>47</v>
      </c>
      <c r="F138" s="13" t="s">
        <v>63</v>
      </c>
      <c r="G138" s="30">
        <v>0.5</v>
      </c>
      <c r="H138" s="30">
        <v>0.5</v>
      </c>
      <c r="I138" s="30">
        <f t="shared" si="9"/>
        <v>0</v>
      </c>
      <c r="J138" s="51" t="s">
        <v>297</v>
      </c>
      <c r="K138" s="50"/>
    </row>
    <row r="139" spans="1:11" ht="13.2" x14ac:dyDescent="0.25">
      <c r="A139" s="33">
        <v>45562</v>
      </c>
      <c r="B139" s="28" t="s">
        <v>55</v>
      </c>
      <c r="C139" s="12" t="s">
        <v>16</v>
      </c>
      <c r="D139" s="28" t="s">
        <v>285</v>
      </c>
      <c r="E139" s="13" t="s">
        <v>67</v>
      </c>
      <c r="F139" s="13" t="s">
        <v>63</v>
      </c>
      <c r="G139" s="30">
        <v>2</v>
      </c>
      <c r="H139" s="30">
        <v>1.5</v>
      </c>
      <c r="I139" s="30">
        <f t="shared" si="9"/>
        <v>-0.5</v>
      </c>
      <c r="J139" s="51" t="s">
        <v>295</v>
      </c>
      <c r="K139" s="50"/>
    </row>
    <row r="140" spans="1:11" ht="13.2" x14ac:dyDescent="0.25">
      <c r="A140" s="33">
        <v>45562</v>
      </c>
      <c r="B140" s="28" t="s">
        <v>55</v>
      </c>
      <c r="C140" s="12" t="s">
        <v>16</v>
      </c>
      <c r="D140" s="28" t="s">
        <v>293</v>
      </c>
      <c r="E140" s="13" t="s">
        <v>64</v>
      </c>
      <c r="F140" s="13" t="s">
        <v>54</v>
      </c>
      <c r="G140" s="30">
        <v>0.25</v>
      </c>
      <c r="H140" s="30">
        <v>0.25</v>
      </c>
      <c r="I140" s="30">
        <f t="shared" si="9"/>
        <v>0</v>
      </c>
      <c r="J140" s="51" t="s">
        <v>296</v>
      </c>
      <c r="K140" s="50"/>
    </row>
    <row r="141" spans="1:11" ht="13.2" x14ac:dyDescent="0.25">
      <c r="A141" s="33">
        <v>45562</v>
      </c>
      <c r="B141" s="28" t="s">
        <v>55</v>
      </c>
      <c r="C141" s="12" t="s">
        <v>16</v>
      </c>
      <c r="D141" s="28" t="s">
        <v>286</v>
      </c>
      <c r="E141" s="13" t="s">
        <v>59</v>
      </c>
      <c r="F141" s="13" t="s">
        <v>63</v>
      </c>
      <c r="G141" s="30">
        <v>3.5</v>
      </c>
      <c r="H141" s="30">
        <v>2</v>
      </c>
      <c r="I141" s="30">
        <f t="shared" si="9"/>
        <v>-1.5</v>
      </c>
      <c r="K141" s="50"/>
    </row>
    <row r="142" spans="1:11" ht="13.2" x14ac:dyDescent="0.25">
      <c r="A142" s="33">
        <v>45562</v>
      </c>
      <c r="B142" s="28" t="s">
        <v>55</v>
      </c>
      <c r="C142" s="12" t="s">
        <v>16</v>
      </c>
      <c r="D142" s="28" t="s">
        <v>225</v>
      </c>
      <c r="E142" s="13" t="s">
        <v>47</v>
      </c>
      <c r="F142" s="13" t="s">
        <v>63</v>
      </c>
      <c r="G142" s="30">
        <v>0.5</v>
      </c>
      <c r="H142" s="30">
        <v>0.25</v>
      </c>
      <c r="I142" s="30">
        <f t="shared" si="9"/>
        <v>-0.25</v>
      </c>
      <c r="K142" s="50"/>
    </row>
    <row r="143" spans="1:11" ht="13.2" x14ac:dyDescent="0.25">
      <c r="A143" s="33">
        <v>45562</v>
      </c>
      <c r="B143" s="28" t="s">
        <v>55</v>
      </c>
      <c r="C143" s="12" t="s">
        <v>16</v>
      </c>
      <c r="D143" s="28" t="s">
        <v>291</v>
      </c>
      <c r="E143" s="13" t="s">
        <v>64</v>
      </c>
      <c r="F143" s="13" t="s">
        <v>54</v>
      </c>
      <c r="G143" s="30">
        <v>0.25</v>
      </c>
      <c r="H143" s="30">
        <v>0.25</v>
      </c>
      <c r="I143" s="30">
        <f t="shared" si="9"/>
        <v>0</v>
      </c>
      <c r="J143" s="51" t="s">
        <v>389</v>
      </c>
      <c r="K143" s="51"/>
    </row>
    <row r="144" spans="1:11" ht="13.2" x14ac:dyDescent="0.25">
      <c r="A144" s="33">
        <v>45562</v>
      </c>
      <c r="B144" s="28" t="s">
        <v>55</v>
      </c>
      <c r="C144" s="12" t="s">
        <v>16</v>
      </c>
      <c r="D144" s="28" t="s">
        <v>287</v>
      </c>
      <c r="E144" s="13" t="s">
        <v>47</v>
      </c>
      <c r="F144" s="13" t="s">
        <v>54</v>
      </c>
      <c r="G144" s="30">
        <v>0.25</v>
      </c>
      <c r="H144" s="30">
        <v>0.25</v>
      </c>
      <c r="I144" s="30">
        <f t="shared" si="9"/>
        <v>0</v>
      </c>
      <c r="K144" s="50"/>
    </row>
    <row r="145" spans="1:11" ht="13.2" x14ac:dyDescent="0.25">
      <c r="A145" s="33">
        <v>45562</v>
      </c>
      <c r="B145" s="28" t="s">
        <v>55</v>
      </c>
      <c r="C145" s="12" t="s">
        <v>16</v>
      </c>
      <c r="D145" s="28" t="s">
        <v>292</v>
      </c>
      <c r="E145" s="13" t="s">
        <v>64</v>
      </c>
      <c r="F145" s="13" t="s">
        <v>54</v>
      </c>
      <c r="G145" s="30">
        <v>0.25</v>
      </c>
      <c r="H145" s="30">
        <v>0.3</v>
      </c>
      <c r="I145" s="30">
        <f t="shared" si="9"/>
        <v>4.9999999999999989E-2</v>
      </c>
      <c r="J145" s="51" t="s">
        <v>389</v>
      </c>
      <c r="K145" s="51"/>
    </row>
    <row r="146" spans="1:11" ht="13.2" x14ac:dyDescent="0.25">
      <c r="A146" s="33">
        <v>45562</v>
      </c>
      <c r="B146" s="28" t="s">
        <v>55</v>
      </c>
      <c r="C146" s="12" t="s">
        <v>16</v>
      </c>
      <c r="D146" s="28" t="s">
        <v>290</v>
      </c>
      <c r="E146" s="13" t="s">
        <v>64</v>
      </c>
      <c r="F146" s="13" t="s">
        <v>54</v>
      </c>
      <c r="G146" s="30">
        <v>0.25</v>
      </c>
      <c r="H146" s="30">
        <v>0.25</v>
      </c>
      <c r="I146" s="30">
        <f t="shared" si="9"/>
        <v>0</v>
      </c>
      <c r="J146" s="51" t="s">
        <v>391</v>
      </c>
      <c r="K146" s="50"/>
    </row>
    <row r="147" spans="1:11" ht="13.2" x14ac:dyDescent="0.25">
      <c r="A147" s="33">
        <v>45562</v>
      </c>
      <c r="B147" s="28" t="s">
        <v>55</v>
      </c>
      <c r="C147" s="12" t="s">
        <v>16</v>
      </c>
      <c r="D147" s="28" t="s">
        <v>208</v>
      </c>
      <c r="E147" s="13" t="s">
        <v>64</v>
      </c>
      <c r="F147" s="13" t="s">
        <v>63</v>
      </c>
      <c r="G147" s="30">
        <v>0.5</v>
      </c>
      <c r="H147" s="30">
        <v>1</v>
      </c>
      <c r="I147" s="30">
        <f>H147-G147</f>
        <v>0.5</v>
      </c>
      <c r="J147" s="48"/>
      <c r="K147" s="28" t="s">
        <v>388</v>
      </c>
    </row>
    <row r="148" spans="1:11" ht="13.2" x14ac:dyDescent="0.25">
      <c r="A148" s="33">
        <v>45563</v>
      </c>
      <c r="B148" s="28" t="s">
        <v>58</v>
      </c>
      <c r="C148" s="12" t="s">
        <v>16</v>
      </c>
      <c r="D148" s="28" t="s">
        <v>253</v>
      </c>
      <c r="E148" s="13" t="s">
        <v>50</v>
      </c>
      <c r="F148" s="13" t="s">
        <v>17</v>
      </c>
      <c r="G148" s="30">
        <v>3</v>
      </c>
      <c r="H148" s="30">
        <v>0</v>
      </c>
      <c r="I148" s="30">
        <f t="shared" si="9"/>
        <v>-3</v>
      </c>
      <c r="J148" s="48"/>
      <c r="K148" s="28" t="s">
        <v>390</v>
      </c>
    </row>
    <row r="149" spans="1:11" ht="13.2" x14ac:dyDescent="0.25">
      <c r="A149" s="33">
        <v>45563</v>
      </c>
      <c r="B149" s="28" t="s">
        <v>58</v>
      </c>
      <c r="C149" s="12" t="s">
        <v>16</v>
      </c>
      <c r="D149" s="28" t="s">
        <v>254</v>
      </c>
      <c r="E149" s="13" t="s">
        <v>50</v>
      </c>
      <c r="F149" s="13" t="s">
        <v>17</v>
      </c>
      <c r="G149" s="30">
        <v>3</v>
      </c>
      <c r="H149" s="30">
        <v>0</v>
      </c>
      <c r="I149" s="30">
        <f t="shared" si="9"/>
        <v>-3</v>
      </c>
      <c r="J149" s="48"/>
      <c r="K149" s="28" t="s">
        <v>304</v>
      </c>
    </row>
    <row r="150" spans="1:11" ht="13.2" x14ac:dyDescent="0.25">
      <c r="A150" s="33">
        <v>45563</v>
      </c>
      <c r="B150" s="28" t="s">
        <v>58</v>
      </c>
      <c r="C150" s="12" t="s">
        <v>16</v>
      </c>
      <c r="D150" s="28" t="s">
        <v>255</v>
      </c>
      <c r="E150" s="13" t="s">
        <v>56</v>
      </c>
      <c r="F150" s="13" t="s">
        <v>17</v>
      </c>
      <c r="G150" s="30">
        <v>1.5</v>
      </c>
      <c r="H150" s="30">
        <v>0</v>
      </c>
      <c r="I150" s="30">
        <f t="shared" si="9"/>
        <v>-1.5</v>
      </c>
      <c r="J150" s="48"/>
      <c r="K150" s="28" t="s">
        <v>304</v>
      </c>
    </row>
    <row r="151" spans="1:11" ht="13.2" x14ac:dyDescent="0.25">
      <c r="A151" s="33">
        <v>45563</v>
      </c>
      <c r="B151" s="28" t="s">
        <v>55</v>
      </c>
      <c r="C151" s="12" t="s">
        <v>16</v>
      </c>
      <c r="D151" s="28" t="s">
        <v>288</v>
      </c>
      <c r="E151" s="13" t="s">
        <v>64</v>
      </c>
      <c r="F151" s="13" t="s">
        <v>54</v>
      </c>
      <c r="G151" s="30">
        <v>0.5</v>
      </c>
      <c r="H151" s="30">
        <v>0.5</v>
      </c>
      <c r="I151" s="30">
        <f t="shared" si="8"/>
        <v>0</v>
      </c>
      <c r="J151" s="48" t="s">
        <v>389</v>
      </c>
      <c r="K151" s="52"/>
    </row>
    <row r="152" spans="1:11" ht="13.2" x14ac:dyDescent="0.25">
      <c r="A152" s="19"/>
      <c r="B152" s="21"/>
      <c r="C152" s="21"/>
      <c r="D152" s="21"/>
      <c r="E152" s="21" t="s">
        <v>18</v>
      </c>
      <c r="F152" s="21"/>
      <c r="G152" s="24">
        <f>SUM(G94:G151)</f>
        <v>48</v>
      </c>
      <c r="H152" s="24">
        <f>SUM(H94:H151)</f>
        <v>28.549999999999997</v>
      </c>
      <c r="I152" s="24">
        <f t="shared" si="8"/>
        <v>-19.450000000000003</v>
      </c>
      <c r="J152" s="25"/>
      <c r="K152" s="21"/>
    </row>
    <row r="153" spans="1:11" ht="18.75" customHeight="1" x14ac:dyDescent="0.25">
      <c r="A153" s="64" t="s">
        <v>23</v>
      </c>
      <c r="B153" s="56"/>
      <c r="C153" s="56"/>
      <c r="D153" s="56"/>
      <c r="E153" s="56"/>
      <c r="F153" s="56"/>
      <c r="G153" s="56"/>
      <c r="H153" s="56"/>
      <c r="I153" s="56"/>
      <c r="J153" s="56"/>
      <c r="K153" s="57"/>
    </row>
    <row r="154" spans="1:11" ht="13.2" x14ac:dyDescent="0.25">
      <c r="A154" s="36" t="s">
        <v>12</v>
      </c>
      <c r="B154" s="65" t="s">
        <v>13</v>
      </c>
      <c r="C154" s="56"/>
      <c r="D154" s="56"/>
      <c r="E154" s="56"/>
      <c r="F154" s="56"/>
      <c r="G154" s="56"/>
      <c r="H154" s="56"/>
      <c r="I154" s="56"/>
      <c r="J154" s="56"/>
      <c r="K154" s="57"/>
    </row>
    <row r="155" spans="1:11" ht="27.75" customHeight="1" x14ac:dyDescent="0.25">
      <c r="A155" s="37" t="s">
        <v>14</v>
      </c>
      <c r="B155" s="65" t="s">
        <v>15</v>
      </c>
      <c r="C155" s="56"/>
      <c r="D155" s="56"/>
      <c r="E155" s="56"/>
      <c r="F155" s="56"/>
      <c r="G155" s="56"/>
      <c r="H155" s="56"/>
      <c r="I155" s="56"/>
      <c r="J155" s="56"/>
      <c r="K155" s="57"/>
    </row>
    <row r="156" spans="1:11" ht="13.2" x14ac:dyDescent="0.25">
      <c r="A156" s="33">
        <v>45565</v>
      </c>
      <c r="B156" s="28" t="s">
        <v>55</v>
      </c>
      <c r="C156" s="12" t="s">
        <v>16</v>
      </c>
      <c r="D156" s="28" t="s">
        <v>298</v>
      </c>
      <c r="E156" s="13" t="s">
        <v>62</v>
      </c>
      <c r="F156" s="13" t="s">
        <v>54</v>
      </c>
      <c r="G156" s="30">
        <v>0.25</v>
      </c>
      <c r="H156" s="30">
        <v>0.25</v>
      </c>
      <c r="I156" s="30">
        <f t="shared" ref="I156:I194" si="10">H156-G156</f>
        <v>0</v>
      </c>
      <c r="J156" s="48" t="s">
        <v>392</v>
      </c>
      <c r="K156" s="28"/>
    </row>
    <row r="157" spans="1:11" ht="13.2" x14ac:dyDescent="0.25">
      <c r="A157" s="33">
        <v>45565</v>
      </c>
      <c r="B157" s="28" t="s">
        <v>55</v>
      </c>
      <c r="C157" s="12" t="s">
        <v>16</v>
      </c>
      <c r="D157" s="28" t="s">
        <v>299</v>
      </c>
      <c r="E157" s="13" t="s">
        <v>62</v>
      </c>
      <c r="F157" s="13" t="s">
        <v>54</v>
      </c>
      <c r="G157" s="30">
        <v>0.25</v>
      </c>
      <c r="H157" s="30">
        <v>0.25</v>
      </c>
      <c r="I157" s="30">
        <f t="shared" si="10"/>
        <v>0</v>
      </c>
      <c r="J157" s="29"/>
      <c r="K157" s="28"/>
    </row>
    <row r="158" spans="1:11" ht="13.2" x14ac:dyDescent="0.25">
      <c r="A158" s="33">
        <v>45565</v>
      </c>
      <c r="B158" s="28" t="s">
        <v>55</v>
      </c>
      <c r="C158" s="12" t="s">
        <v>16</v>
      </c>
      <c r="D158" s="28" t="s">
        <v>300</v>
      </c>
      <c r="E158" s="13" t="s">
        <v>67</v>
      </c>
      <c r="F158" s="13" t="s">
        <v>63</v>
      </c>
      <c r="G158" s="30">
        <v>0.5</v>
      </c>
      <c r="H158" s="30">
        <v>0.5</v>
      </c>
      <c r="I158" s="30">
        <f t="shared" si="10"/>
        <v>0</v>
      </c>
      <c r="J158" s="29"/>
      <c r="K158" s="28"/>
    </row>
    <row r="159" spans="1:11" ht="13.2" x14ac:dyDescent="0.25">
      <c r="A159" s="33">
        <v>45565</v>
      </c>
      <c r="B159" s="28" t="s">
        <v>55</v>
      </c>
      <c r="C159" s="12" t="s">
        <v>16</v>
      </c>
      <c r="D159" s="28" t="s">
        <v>301</v>
      </c>
      <c r="E159" s="13" t="s">
        <v>59</v>
      </c>
      <c r="F159" s="13" t="s">
        <v>63</v>
      </c>
      <c r="G159" s="30">
        <v>2</v>
      </c>
      <c r="H159" s="30">
        <v>3</v>
      </c>
      <c r="I159" s="30">
        <f t="shared" si="10"/>
        <v>1</v>
      </c>
      <c r="J159" s="48" t="s">
        <v>393</v>
      </c>
      <c r="K159" s="28" t="s">
        <v>314</v>
      </c>
    </row>
    <row r="160" spans="1:11" ht="13.2" x14ac:dyDescent="0.25">
      <c r="A160" s="33">
        <v>45565</v>
      </c>
      <c r="B160" s="28" t="s">
        <v>55</v>
      </c>
      <c r="C160" s="12" t="s">
        <v>16</v>
      </c>
      <c r="D160" s="28" t="s">
        <v>302</v>
      </c>
      <c r="E160" s="13" t="s">
        <v>67</v>
      </c>
      <c r="F160" s="13" t="s">
        <v>63</v>
      </c>
      <c r="G160" s="30">
        <v>0.5</v>
      </c>
      <c r="H160" s="30">
        <v>0.5</v>
      </c>
      <c r="I160" s="30">
        <f t="shared" si="10"/>
        <v>0</v>
      </c>
      <c r="J160" s="29"/>
      <c r="K160" s="28"/>
    </row>
    <row r="161" spans="1:11" ht="13.2" x14ac:dyDescent="0.25">
      <c r="A161" s="33" t="s">
        <v>305</v>
      </c>
      <c r="B161" s="28" t="s">
        <v>55</v>
      </c>
      <c r="C161" s="12" t="s">
        <v>16</v>
      </c>
      <c r="D161" s="28" t="s">
        <v>311</v>
      </c>
      <c r="E161" s="13" t="s">
        <v>59</v>
      </c>
      <c r="F161" s="13" t="s">
        <v>63</v>
      </c>
      <c r="G161" s="30">
        <v>2.5</v>
      </c>
      <c r="H161" s="30">
        <v>2.25</v>
      </c>
      <c r="I161" s="30">
        <f t="shared" si="10"/>
        <v>-0.25</v>
      </c>
      <c r="J161" s="48" t="s">
        <v>394</v>
      </c>
      <c r="K161" s="28" t="s">
        <v>313</v>
      </c>
    </row>
    <row r="162" spans="1:11" ht="13.2" x14ac:dyDescent="0.25">
      <c r="A162" s="33" t="s">
        <v>305</v>
      </c>
      <c r="B162" s="28" t="s">
        <v>55</v>
      </c>
      <c r="C162" s="12" t="s">
        <v>16</v>
      </c>
      <c r="D162" s="28" t="s">
        <v>203</v>
      </c>
      <c r="E162" s="13" t="s">
        <v>53</v>
      </c>
      <c r="F162" s="13" t="s">
        <v>63</v>
      </c>
      <c r="G162" s="30">
        <v>0.5</v>
      </c>
      <c r="H162" s="30">
        <v>0.5</v>
      </c>
      <c r="I162" s="30">
        <f t="shared" si="10"/>
        <v>0</v>
      </c>
      <c r="J162" s="29"/>
      <c r="K162" s="28" t="s">
        <v>315</v>
      </c>
    </row>
    <row r="163" spans="1:11" ht="13.2" x14ac:dyDescent="0.25">
      <c r="A163" s="33">
        <v>45566</v>
      </c>
      <c r="B163" s="28" t="s">
        <v>55</v>
      </c>
      <c r="C163" s="12" t="s">
        <v>16</v>
      </c>
      <c r="D163" s="28" t="s">
        <v>306</v>
      </c>
      <c r="E163" s="13" t="s">
        <v>47</v>
      </c>
      <c r="F163" s="13" t="s">
        <v>63</v>
      </c>
      <c r="G163" s="30">
        <v>0.25</v>
      </c>
      <c r="H163" s="30">
        <v>0.25</v>
      </c>
      <c r="I163" s="30">
        <f t="shared" si="10"/>
        <v>0</v>
      </c>
      <c r="J163" s="29"/>
      <c r="K163" s="28"/>
    </row>
    <row r="164" spans="1:11" ht="13.2" x14ac:dyDescent="0.25">
      <c r="A164" s="33">
        <v>45566</v>
      </c>
      <c r="B164" s="28" t="s">
        <v>55</v>
      </c>
      <c r="C164" s="12" t="s">
        <v>16</v>
      </c>
      <c r="D164" s="28" t="s">
        <v>218</v>
      </c>
      <c r="E164" s="13" t="s">
        <v>47</v>
      </c>
      <c r="F164" s="13" t="s">
        <v>63</v>
      </c>
      <c r="G164" s="30">
        <v>0.5</v>
      </c>
      <c r="H164" s="30">
        <v>0.5</v>
      </c>
      <c r="I164" s="30">
        <f t="shared" si="10"/>
        <v>0</v>
      </c>
      <c r="J164" s="29"/>
      <c r="K164" s="28"/>
    </row>
    <row r="165" spans="1:11" ht="13.2" x14ac:dyDescent="0.25">
      <c r="A165" s="33">
        <v>45566</v>
      </c>
      <c r="B165" s="28" t="s">
        <v>55</v>
      </c>
      <c r="C165" s="12" t="s">
        <v>16</v>
      </c>
      <c r="D165" s="28" t="s">
        <v>307</v>
      </c>
      <c r="E165" s="13" t="s">
        <v>67</v>
      </c>
      <c r="F165" s="13" t="s">
        <v>63</v>
      </c>
      <c r="G165" s="30">
        <v>4</v>
      </c>
      <c r="H165" s="30">
        <v>2.5</v>
      </c>
      <c r="I165" s="30">
        <f t="shared" si="10"/>
        <v>-1.5</v>
      </c>
      <c r="J165" s="48" t="s">
        <v>395</v>
      </c>
      <c r="K165" s="28"/>
    </row>
    <row r="166" spans="1:11" ht="13.2" x14ac:dyDescent="0.25">
      <c r="A166" s="33">
        <v>45566</v>
      </c>
      <c r="B166" s="28" t="s">
        <v>55</v>
      </c>
      <c r="C166" s="12" t="s">
        <v>16</v>
      </c>
      <c r="D166" s="28" t="s">
        <v>308</v>
      </c>
      <c r="E166" s="13" t="s">
        <v>47</v>
      </c>
      <c r="F166" s="13" t="s">
        <v>63</v>
      </c>
      <c r="G166" s="30">
        <v>0.5</v>
      </c>
      <c r="H166" s="30">
        <v>0.5</v>
      </c>
      <c r="I166" s="30">
        <f t="shared" si="10"/>
        <v>0</v>
      </c>
      <c r="J166" s="29"/>
      <c r="K166" s="28"/>
    </row>
    <row r="167" spans="1:11" ht="13.2" x14ac:dyDescent="0.25">
      <c r="A167" s="33">
        <v>45566</v>
      </c>
      <c r="B167" s="28" t="s">
        <v>55</v>
      </c>
      <c r="C167" s="12" t="s">
        <v>16</v>
      </c>
      <c r="D167" s="28" t="s">
        <v>309</v>
      </c>
      <c r="E167" s="13" t="s">
        <v>66</v>
      </c>
      <c r="F167" s="13" t="s">
        <v>63</v>
      </c>
      <c r="G167" s="30">
        <v>1</v>
      </c>
      <c r="H167" s="30">
        <v>1</v>
      </c>
      <c r="I167" s="30">
        <f t="shared" si="10"/>
        <v>0</v>
      </c>
      <c r="J167" s="29"/>
      <c r="K167" s="28"/>
    </row>
    <row r="168" spans="1:11" ht="13.2" x14ac:dyDescent="0.25">
      <c r="A168" s="33">
        <v>45566</v>
      </c>
      <c r="B168" s="28" t="s">
        <v>55</v>
      </c>
      <c r="C168" s="12" t="s">
        <v>16</v>
      </c>
      <c r="D168" s="28" t="s">
        <v>312</v>
      </c>
      <c r="E168" s="13" t="s">
        <v>64</v>
      </c>
      <c r="F168" s="13" t="s">
        <v>54</v>
      </c>
      <c r="G168" s="30">
        <v>0.25</v>
      </c>
      <c r="H168" s="30">
        <v>0.25</v>
      </c>
      <c r="I168" s="30">
        <f t="shared" si="10"/>
        <v>0</v>
      </c>
      <c r="J168" s="48" t="s">
        <v>396</v>
      </c>
      <c r="K168" s="28"/>
    </row>
    <row r="169" spans="1:11" ht="13.2" x14ac:dyDescent="0.25">
      <c r="A169" s="33" t="s">
        <v>320</v>
      </c>
      <c r="B169" s="28" t="s">
        <v>55</v>
      </c>
      <c r="C169" s="12" t="s">
        <v>16</v>
      </c>
      <c r="D169" s="28" t="s">
        <v>316</v>
      </c>
      <c r="E169" s="13" t="s">
        <v>67</v>
      </c>
      <c r="F169" s="13" t="s">
        <v>63</v>
      </c>
      <c r="G169" s="30">
        <v>1.5</v>
      </c>
      <c r="H169" s="30">
        <v>1.5</v>
      </c>
      <c r="I169" s="30">
        <f t="shared" si="10"/>
        <v>0</v>
      </c>
      <c r="J169" s="48" t="s">
        <v>397</v>
      </c>
      <c r="K169" s="28"/>
    </row>
    <row r="170" spans="1:11" ht="13.2" x14ac:dyDescent="0.25">
      <c r="A170" s="33">
        <v>45567</v>
      </c>
      <c r="B170" s="28" t="s">
        <v>55</v>
      </c>
      <c r="C170" s="12" t="s">
        <v>16</v>
      </c>
      <c r="D170" s="28" t="s">
        <v>317</v>
      </c>
      <c r="E170" s="13" t="s">
        <v>59</v>
      </c>
      <c r="F170" s="13" t="s">
        <v>63</v>
      </c>
      <c r="G170" s="30">
        <v>1.5</v>
      </c>
      <c r="H170" s="30">
        <v>1.5</v>
      </c>
      <c r="I170" s="30">
        <f t="shared" si="10"/>
        <v>0</v>
      </c>
      <c r="J170" s="48" t="s">
        <v>398</v>
      </c>
      <c r="K170" s="28" t="s">
        <v>322</v>
      </c>
    </row>
    <row r="171" spans="1:11" ht="13.2" x14ac:dyDescent="0.25">
      <c r="A171" s="33" t="s">
        <v>321</v>
      </c>
      <c r="B171" s="28" t="s">
        <v>55</v>
      </c>
      <c r="C171" s="12" t="s">
        <v>16</v>
      </c>
      <c r="D171" s="28" t="s">
        <v>318</v>
      </c>
      <c r="E171" s="13" t="s">
        <v>59</v>
      </c>
      <c r="F171" s="13" t="s">
        <v>63</v>
      </c>
      <c r="G171" s="30">
        <v>1</v>
      </c>
      <c r="H171" s="30">
        <v>3</v>
      </c>
      <c r="I171" s="30">
        <f t="shared" si="10"/>
        <v>2</v>
      </c>
      <c r="J171" s="29"/>
      <c r="K171" s="28" t="s">
        <v>399</v>
      </c>
    </row>
    <row r="172" spans="1:11" ht="13.2" x14ac:dyDescent="0.25">
      <c r="A172" s="33">
        <v>45567</v>
      </c>
      <c r="B172" s="28" t="s">
        <v>55</v>
      </c>
      <c r="C172" s="12" t="s">
        <v>16</v>
      </c>
      <c r="D172" s="28" t="s">
        <v>319</v>
      </c>
      <c r="E172" s="13" t="s">
        <v>67</v>
      </c>
      <c r="F172" s="13" t="s">
        <v>63</v>
      </c>
      <c r="G172" s="30">
        <v>4</v>
      </c>
      <c r="H172" s="30">
        <v>4</v>
      </c>
      <c r="I172" s="30">
        <f t="shared" si="10"/>
        <v>0</v>
      </c>
      <c r="J172" s="48" t="s">
        <v>400</v>
      </c>
      <c r="K172" s="28" t="s">
        <v>401</v>
      </c>
    </row>
    <row r="173" spans="1:11" ht="13.2" x14ac:dyDescent="0.25">
      <c r="A173" s="33">
        <v>45568</v>
      </c>
      <c r="B173" s="28" t="s">
        <v>58</v>
      </c>
      <c r="C173" s="12" t="s">
        <v>16</v>
      </c>
      <c r="D173" s="28" t="s">
        <v>323</v>
      </c>
      <c r="E173" s="13" t="s">
        <v>50</v>
      </c>
      <c r="F173" s="13" t="s">
        <v>17</v>
      </c>
      <c r="G173" s="30">
        <v>3</v>
      </c>
      <c r="H173" s="30"/>
      <c r="I173" s="30">
        <f t="shared" si="10"/>
        <v>-3</v>
      </c>
      <c r="J173" s="29"/>
      <c r="K173" s="28"/>
    </row>
    <row r="174" spans="1:11" ht="13.2" x14ac:dyDescent="0.25">
      <c r="A174" s="33">
        <v>45568</v>
      </c>
      <c r="B174" s="28" t="s">
        <v>58</v>
      </c>
      <c r="C174" s="12" t="s">
        <v>16</v>
      </c>
      <c r="D174" s="28" t="s">
        <v>324</v>
      </c>
      <c r="E174" s="13" t="s">
        <v>50</v>
      </c>
      <c r="F174" s="13" t="s">
        <v>17</v>
      </c>
      <c r="G174" s="30">
        <v>3</v>
      </c>
      <c r="H174" s="30"/>
      <c r="I174" s="30">
        <f t="shared" si="10"/>
        <v>-3</v>
      </c>
      <c r="J174" s="29"/>
      <c r="K174" s="28"/>
    </row>
    <row r="175" spans="1:11" ht="13.2" x14ac:dyDescent="0.25">
      <c r="A175" s="33">
        <v>45568</v>
      </c>
      <c r="B175" s="28" t="s">
        <v>58</v>
      </c>
      <c r="C175" s="12" t="s">
        <v>16</v>
      </c>
      <c r="D175" s="28" t="s">
        <v>255</v>
      </c>
      <c r="E175" s="13" t="s">
        <v>59</v>
      </c>
      <c r="F175" s="13" t="s">
        <v>17</v>
      </c>
      <c r="G175" s="30">
        <v>1.5</v>
      </c>
      <c r="H175" s="30"/>
      <c r="I175" s="30">
        <f t="shared" si="10"/>
        <v>-1.5</v>
      </c>
      <c r="J175" s="29"/>
      <c r="K175" s="28"/>
    </row>
    <row r="176" spans="1:11" ht="13.2" x14ac:dyDescent="0.25">
      <c r="A176" s="33">
        <v>45569</v>
      </c>
      <c r="B176" s="28" t="s">
        <v>55</v>
      </c>
      <c r="C176" s="12" t="s">
        <v>16</v>
      </c>
      <c r="D176" s="28" t="s">
        <v>327</v>
      </c>
      <c r="E176" s="13" t="s">
        <v>62</v>
      </c>
      <c r="F176" s="13" t="s">
        <v>54</v>
      </c>
      <c r="G176" s="30">
        <v>0.25</v>
      </c>
      <c r="H176" s="30">
        <v>0.25</v>
      </c>
      <c r="I176" s="30">
        <f t="shared" si="10"/>
        <v>0</v>
      </c>
      <c r="J176" s="29"/>
      <c r="K176" s="28"/>
    </row>
    <row r="177" spans="1:11" ht="13.2" x14ac:dyDescent="0.25">
      <c r="A177" s="33">
        <v>45569</v>
      </c>
      <c r="B177" s="28" t="s">
        <v>55</v>
      </c>
      <c r="C177" s="12" t="s">
        <v>16</v>
      </c>
      <c r="D177" s="28" t="s">
        <v>289</v>
      </c>
      <c r="E177" s="13" t="s">
        <v>47</v>
      </c>
      <c r="F177" s="13" t="s">
        <v>54</v>
      </c>
      <c r="G177" s="30">
        <v>0.25</v>
      </c>
      <c r="H177" s="30">
        <v>0.25</v>
      </c>
      <c r="I177" s="30">
        <f t="shared" si="10"/>
        <v>0</v>
      </c>
      <c r="J177" s="29"/>
      <c r="K177" s="28"/>
    </row>
    <row r="178" spans="1:11" ht="13.2" x14ac:dyDescent="0.25">
      <c r="A178" s="33">
        <v>45569</v>
      </c>
      <c r="B178" s="28" t="s">
        <v>55</v>
      </c>
      <c r="C178" s="12" t="s">
        <v>16</v>
      </c>
      <c r="D178" s="28" t="s">
        <v>328</v>
      </c>
      <c r="E178" s="13" t="s">
        <v>47</v>
      </c>
      <c r="F178" s="13" t="s">
        <v>63</v>
      </c>
      <c r="G178" s="30">
        <v>0.5</v>
      </c>
      <c r="H178" s="30">
        <v>0.5</v>
      </c>
      <c r="I178" s="30">
        <f t="shared" si="10"/>
        <v>0</v>
      </c>
      <c r="J178" s="29"/>
      <c r="K178" s="28"/>
    </row>
    <row r="179" spans="1:11" ht="13.2" x14ac:dyDescent="0.25">
      <c r="A179" s="33">
        <v>45569</v>
      </c>
      <c r="B179" s="28" t="s">
        <v>55</v>
      </c>
      <c r="C179" s="12" t="s">
        <v>16</v>
      </c>
      <c r="D179" s="28" t="s">
        <v>218</v>
      </c>
      <c r="E179" s="13" t="s">
        <v>47</v>
      </c>
      <c r="F179" s="13" t="s">
        <v>63</v>
      </c>
      <c r="G179" s="30">
        <v>1</v>
      </c>
      <c r="H179" s="30">
        <v>1</v>
      </c>
      <c r="I179" s="30">
        <f t="shared" si="10"/>
        <v>0</v>
      </c>
      <c r="J179" s="29"/>
      <c r="K179" s="28"/>
    </row>
    <row r="180" spans="1:11" ht="13.2" x14ac:dyDescent="0.25">
      <c r="A180" s="33">
        <v>45569</v>
      </c>
      <c r="B180" s="28" t="s">
        <v>55</v>
      </c>
      <c r="C180" s="12" t="s">
        <v>16</v>
      </c>
      <c r="D180" s="28" t="s">
        <v>329</v>
      </c>
      <c r="E180" s="13" t="s">
        <v>53</v>
      </c>
      <c r="F180" s="13" t="s">
        <v>63</v>
      </c>
      <c r="G180" s="30">
        <v>2</v>
      </c>
      <c r="H180" s="30">
        <v>2</v>
      </c>
      <c r="I180" s="30">
        <f t="shared" si="10"/>
        <v>0</v>
      </c>
      <c r="J180" s="52" t="s">
        <v>402</v>
      </c>
    </row>
    <row r="181" spans="1:11" ht="13.2" x14ac:dyDescent="0.25">
      <c r="A181" s="33">
        <v>45569</v>
      </c>
      <c r="B181" s="28" t="s">
        <v>55</v>
      </c>
      <c r="C181" s="12" t="s">
        <v>16</v>
      </c>
      <c r="D181" s="28" t="s">
        <v>333</v>
      </c>
      <c r="E181" s="13" t="s">
        <v>53</v>
      </c>
      <c r="F181" s="13" t="s">
        <v>63</v>
      </c>
      <c r="G181" s="30">
        <v>0.75</v>
      </c>
      <c r="H181" s="30">
        <v>0.75</v>
      </c>
      <c r="I181" s="30">
        <f t="shared" si="10"/>
        <v>0</v>
      </c>
      <c r="J181" s="29"/>
      <c r="K181" s="28"/>
    </row>
    <row r="182" spans="1:11" ht="13.2" x14ac:dyDescent="0.25">
      <c r="A182" s="33">
        <v>45569</v>
      </c>
      <c r="B182" s="28" t="s">
        <v>55</v>
      </c>
      <c r="C182" s="12" t="s">
        <v>16</v>
      </c>
      <c r="D182" s="28" t="s">
        <v>330</v>
      </c>
      <c r="E182" s="13" t="s">
        <v>59</v>
      </c>
      <c r="F182" s="13" t="s">
        <v>63</v>
      </c>
      <c r="G182" s="30">
        <v>2.5</v>
      </c>
      <c r="H182" s="30">
        <v>2.5</v>
      </c>
      <c r="I182" s="30">
        <f t="shared" si="10"/>
        <v>0</v>
      </c>
      <c r="J182" s="48" t="s">
        <v>404</v>
      </c>
      <c r="K182" s="28"/>
    </row>
    <row r="183" spans="1:11" ht="13.2" x14ac:dyDescent="0.25">
      <c r="A183" s="33">
        <v>45569</v>
      </c>
      <c r="B183" s="28" t="s">
        <v>55</v>
      </c>
      <c r="C183" s="12" t="s">
        <v>16</v>
      </c>
      <c r="D183" s="28" t="s">
        <v>208</v>
      </c>
      <c r="E183" s="13" t="s">
        <v>64</v>
      </c>
      <c r="F183" s="13" t="s">
        <v>63</v>
      </c>
      <c r="G183" s="30">
        <v>0.5</v>
      </c>
      <c r="H183" s="30">
        <v>0.75</v>
      </c>
      <c r="I183" s="30">
        <f t="shared" si="10"/>
        <v>0.25</v>
      </c>
      <c r="J183" s="48" t="s">
        <v>403</v>
      </c>
      <c r="K183" s="28" t="s">
        <v>342</v>
      </c>
    </row>
    <row r="184" spans="1:11" ht="13.2" x14ac:dyDescent="0.25">
      <c r="A184" s="33">
        <v>45569</v>
      </c>
      <c r="B184" s="28" t="s">
        <v>55</v>
      </c>
      <c r="C184" s="12" t="s">
        <v>16</v>
      </c>
      <c r="D184" s="28" t="s">
        <v>336</v>
      </c>
      <c r="E184" s="13" t="s">
        <v>53</v>
      </c>
      <c r="F184" s="13" t="s">
        <v>63</v>
      </c>
      <c r="G184" s="30">
        <v>0.25</v>
      </c>
      <c r="H184" s="30">
        <v>0.25</v>
      </c>
      <c r="I184" s="30">
        <f t="shared" si="10"/>
        <v>0</v>
      </c>
      <c r="J184" s="48" t="s">
        <v>405</v>
      </c>
      <c r="K184" s="28"/>
    </row>
    <row r="185" spans="1:11" ht="13.2" x14ac:dyDescent="0.25">
      <c r="A185" s="33">
        <v>45569</v>
      </c>
      <c r="B185" s="28" t="s">
        <v>55</v>
      </c>
      <c r="C185" s="12" t="s">
        <v>16</v>
      </c>
      <c r="D185" s="28" t="s">
        <v>308</v>
      </c>
      <c r="E185" s="13" t="s">
        <v>47</v>
      </c>
      <c r="F185" s="13" t="s">
        <v>63</v>
      </c>
      <c r="G185" s="30">
        <v>0.5</v>
      </c>
      <c r="H185" s="30">
        <v>0.5</v>
      </c>
      <c r="I185" s="30">
        <f t="shared" si="10"/>
        <v>0</v>
      </c>
      <c r="J185" s="29"/>
      <c r="K185" s="28"/>
    </row>
    <row r="186" spans="1:11" ht="13.2" x14ac:dyDescent="0.25">
      <c r="A186" s="33" t="s">
        <v>331</v>
      </c>
      <c r="B186" s="28" t="s">
        <v>55</v>
      </c>
      <c r="C186" s="12" t="s">
        <v>16</v>
      </c>
      <c r="D186" s="28" t="s">
        <v>337</v>
      </c>
      <c r="E186" s="13" t="s">
        <v>53</v>
      </c>
      <c r="F186" s="13" t="s">
        <v>63</v>
      </c>
      <c r="G186" s="30">
        <v>0.25</v>
      </c>
      <c r="H186" s="30">
        <v>0.25</v>
      </c>
      <c r="I186" s="30">
        <f t="shared" si="10"/>
        <v>0</v>
      </c>
      <c r="J186" s="29"/>
      <c r="K186" s="28"/>
    </row>
    <row r="187" spans="1:11" ht="13.2" x14ac:dyDescent="0.25">
      <c r="A187" s="33" t="s">
        <v>331</v>
      </c>
      <c r="B187" s="28" t="s">
        <v>55</v>
      </c>
      <c r="C187" s="12" t="s">
        <v>16</v>
      </c>
      <c r="D187" s="28" t="s">
        <v>310</v>
      </c>
      <c r="E187" s="13" t="s">
        <v>67</v>
      </c>
      <c r="F187" s="13" t="s">
        <v>48</v>
      </c>
      <c r="G187" s="30">
        <v>1</v>
      </c>
      <c r="H187" s="30">
        <v>1</v>
      </c>
      <c r="I187" s="30">
        <f t="shared" si="10"/>
        <v>0</v>
      </c>
      <c r="J187" s="29"/>
      <c r="K187" s="28"/>
    </row>
    <row r="188" spans="1:11" ht="13.2" x14ac:dyDescent="0.25">
      <c r="A188" s="33" t="s">
        <v>331</v>
      </c>
      <c r="B188" s="28" t="s">
        <v>55</v>
      </c>
      <c r="C188" s="12" t="s">
        <v>16</v>
      </c>
      <c r="D188" s="28" t="s">
        <v>326</v>
      </c>
      <c r="E188" s="13" t="s">
        <v>64</v>
      </c>
      <c r="F188" s="13" t="s">
        <v>54</v>
      </c>
      <c r="G188" s="30">
        <v>0.25</v>
      </c>
      <c r="H188" s="30">
        <v>0.25</v>
      </c>
      <c r="I188" s="30">
        <f t="shared" si="10"/>
        <v>0</v>
      </c>
      <c r="J188" s="29"/>
      <c r="K188" s="28"/>
    </row>
    <row r="189" spans="1:11" ht="13.2" x14ac:dyDescent="0.25">
      <c r="A189" s="33" t="s">
        <v>331</v>
      </c>
      <c r="B189" s="28" t="s">
        <v>55</v>
      </c>
      <c r="C189" s="12" t="s">
        <v>16</v>
      </c>
      <c r="D189" s="28" t="s">
        <v>303</v>
      </c>
      <c r="E189" s="13" t="s">
        <v>64</v>
      </c>
      <c r="F189" s="13" t="s">
        <v>54</v>
      </c>
      <c r="G189" s="30">
        <v>0.5</v>
      </c>
      <c r="H189" s="30">
        <v>0.5</v>
      </c>
      <c r="I189" s="30">
        <f t="shared" si="10"/>
        <v>0</v>
      </c>
      <c r="J189" s="29"/>
      <c r="K189" s="28"/>
    </row>
    <row r="190" spans="1:11" ht="13.2" x14ac:dyDescent="0.25">
      <c r="A190" s="33" t="s">
        <v>331</v>
      </c>
      <c r="B190" s="28" t="s">
        <v>55</v>
      </c>
      <c r="C190" s="12" t="s">
        <v>16</v>
      </c>
      <c r="D190" s="28" t="s">
        <v>325</v>
      </c>
      <c r="E190" s="13" t="s">
        <v>64</v>
      </c>
      <c r="F190" s="13" t="s">
        <v>54</v>
      </c>
      <c r="G190" s="30">
        <v>1</v>
      </c>
      <c r="H190" s="30">
        <v>1</v>
      </c>
      <c r="I190" s="30">
        <f t="shared" si="10"/>
        <v>0</v>
      </c>
      <c r="J190" s="29"/>
      <c r="K190" s="28"/>
    </row>
    <row r="191" spans="1:11" ht="13.2" x14ac:dyDescent="0.25">
      <c r="A191" s="33" t="s">
        <v>331</v>
      </c>
      <c r="B191" s="28" t="s">
        <v>55</v>
      </c>
      <c r="C191" s="12" t="s">
        <v>16</v>
      </c>
      <c r="D191" s="28" t="s">
        <v>334</v>
      </c>
      <c r="E191" s="13" t="s">
        <v>53</v>
      </c>
      <c r="F191" s="13" t="s">
        <v>54</v>
      </c>
      <c r="G191" s="30">
        <v>0.5</v>
      </c>
      <c r="H191" s="30">
        <v>0.5</v>
      </c>
      <c r="I191" s="30">
        <f t="shared" si="10"/>
        <v>0</v>
      </c>
      <c r="J191" s="29"/>
      <c r="K191" s="28"/>
    </row>
    <row r="192" spans="1:11" ht="13.2" x14ac:dyDescent="0.25">
      <c r="A192" s="33" t="s">
        <v>331</v>
      </c>
      <c r="B192" s="28" t="s">
        <v>55</v>
      </c>
      <c r="C192" s="12" t="s">
        <v>16</v>
      </c>
      <c r="D192" s="28" t="s">
        <v>335</v>
      </c>
      <c r="E192" s="13" t="s">
        <v>56</v>
      </c>
      <c r="F192" s="13" t="s">
        <v>54</v>
      </c>
      <c r="G192" s="30">
        <v>1</v>
      </c>
      <c r="H192" s="30">
        <v>1</v>
      </c>
      <c r="I192" s="30">
        <f t="shared" si="10"/>
        <v>0</v>
      </c>
      <c r="J192" s="29"/>
      <c r="K192" s="28"/>
    </row>
    <row r="193" spans="1:11" ht="13.2" x14ac:dyDescent="0.25">
      <c r="A193" s="33" t="s">
        <v>331</v>
      </c>
      <c r="B193" s="28" t="s">
        <v>55</v>
      </c>
      <c r="C193" s="12" t="s">
        <v>16</v>
      </c>
      <c r="D193" s="28" t="s">
        <v>332</v>
      </c>
      <c r="E193" s="13" t="s">
        <v>64</v>
      </c>
      <c r="F193" s="13" t="s">
        <v>54</v>
      </c>
      <c r="G193" s="30">
        <v>1</v>
      </c>
      <c r="H193" s="30">
        <v>1</v>
      </c>
      <c r="I193" s="30">
        <f t="shared" si="10"/>
        <v>0</v>
      </c>
      <c r="J193" s="29"/>
      <c r="K193" s="28"/>
    </row>
    <row r="194" spans="1:11" ht="13.2" x14ac:dyDescent="0.25">
      <c r="A194" s="19"/>
      <c r="B194" s="21"/>
      <c r="C194" s="21"/>
      <c r="D194" s="21"/>
      <c r="E194" s="21" t="s">
        <v>18</v>
      </c>
      <c r="F194" s="21"/>
      <c r="G194" s="24">
        <f t="shared" ref="G194:H194" si="11">SUM(G156:G193)</f>
        <v>42.5</v>
      </c>
      <c r="H194" s="24">
        <f t="shared" si="11"/>
        <v>36.5</v>
      </c>
      <c r="I194" s="24">
        <f t="shared" si="10"/>
        <v>-6</v>
      </c>
      <c r="J194" s="25"/>
      <c r="K194" s="21"/>
    </row>
    <row r="195" spans="1:11" ht="18.75" customHeight="1" x14ac:dyDescent="0.25">
      <c r="A195" s="70" t="s">
        <v>24</v>
      </c>
      <c r="B195" s="56"/>
      <c r="C195" s="56"/>
      <c r="D195" s="56"/>
      <c r="E195" s="56"/>
      <c r="F195" s="56"/>
      <c r="G195" s="56"/>
      <c r="H195" s="56"/>
      <c r="I195" s="56"/>
      <c r="J195" s="56"/>
      <c r="K195" s="57"/>
    </row>
    <row r="196" spans="1:11" ht="13.2" x14ac:dyDescent="0.25">
      <c r="A196" s="38" t="s">
        <v>12</v>
      </c>
      <c r="B196" s="71" t="s">
        <v>13</v>
      </c>
      <c r="C196" s="56"/>
      <c r="D196" s="56"/>
      <c r="E196" s="56"/>
      <c r="F196" s="56"/>
      <c r="G196" s="56"/>
      <c r="H196" s="56"/>
      <c r="I196" s="56"/>
      <c r="J196" s="56"/>
      <c r="K196" s="57"/>
    </row>
    <row r="197" spans="1:11" ht="27.6" customHeight="1" x14ac:dyDescent="0.25">
      <c r="A197" s="39" t="s">
        <v>14</v>
      </c>
      <c r="B197" s="71" t="s">
        <v>15</v>
      </c>
      <c r="C197" s="56"/>
      <c r="D197" s="56"/>
      <c r="E197" s="56"/>
      <c r="F197" s="56"/>
      <c r="G197" s="56"/>
      <c r="H197" s="56"/>
      <c r="I197" s="56"/>
      <c r="J197" s="56"/>
      <c r="K197" s="57"/>
    </row>
    <row r="198" spans="1:11" ht="13.2" x14ac:dyDescent="0.25">
      <c r="A198" s="33">
        <v>45572</v>
      </c>
      <c r="B198" s="28" t="s">
        <v>55</v>
      </c>
      <c r="C198" s="12" t="s">
        <v>16</v>
      </c>
      <c r="D198" s="28" t="s">
        <v>298</v>
      </c>
      <c r="E198" s="13" t="s">
        <v>62</v>
      </c>
      <c r="F198" s="13" t="s">
        <v>54</v>
      </c>
      <c r="G198" s="30">
        <v>0.5</v>
      </c>
      <c r="H198" s="30">
        <v>0.5</v>
      </c>
      <c r="I198" s="30">
        <f t="shared" ref="I198:I229" si="12">H198-G198</f>
        <v>0</v>
      </c>
      <c r="J198" s="29"/>
      <c r="K198" s="28"/>
    </row>
    <row r="199" spans="1:11" ht="13.2" x14ac:dyDescent="0.25">
      <c r="A199" s="33">
        <v>45572</v>
      </c>
      <c r="B199" s="28" t="s">
        <v>55</v>
      </c>
      <c r="C199" s="12" t="s">
        <v>16</v>
      </c>
      <c r="D199" s="28" t="s">
        <v>338</v>
      </c>
      <c r="E199" s="13" t="s">
        <v>62</v>
      </c>
      <c r="F199" s="13" t="s">
        <v>54</v>
      </c>
      <c r="G199" s="30">
        <v>0.5</v>
      </c>
      <c r="H199" s="30">
        <v>0.5</v>
      </c>
      <c r="I199" s="30">
        <f t="shared" si="12"/>
        <v>0</v>
      </c>
      <c r="J199" s="29"/>
      <c r="K199" s="28"/>
    </row>
    <row r="200" spans="1:11" ht="13.2" x14ac:dyDescent="0.25">
      <c r="A200" s="33">
        <v>45572</v>
      </c>
      <c r="B200" s="28" t="s">
        <v>55</v>
      </c>
      <c r="C200" s="12" t="s">
        <v>16</v>
      </c>
      <c r="D200" s="28" t="s">
        <v>339</v>
      </c>
      <c r="E200" s="13" t="s">
        <v>67</v>
      </c>
      <c r="F200" s="13" t="s">
        <v>48</v>
      </c>
      <c r="G200" s="30">
        <v>1</v>
      </c>
      <c r="H200" s="30">
        <v>1</v>
      </c>
      <c r="I200" s="30">
        <f t="shared" si="12"/>
        <v>0</v>
      </c>
      <c r="J200" s="29"/>
      <c r="K200" s="28"/>
    </row>
    <row r="201" spans="1:11" ht="13.2" x14ac:dyDescent="0.25">
      <c r="A201" s="33">
        <v>45572</v>
      </c>
      <c r="B201" s="28" t="s">
        <v>55</v>
      </c>
      <c r="C201" s="12" t="s">
        <v>16</v>
      </c>
      <c r="D201" s="28" t="s">
        <v>340</v>
      </c>
      <c r="E201" s="13" t="s">
        <v>67</v>
      </c>
      <c r="F201" s="13" t="s">
        <v>60</v>
      </c>
      <c r="G201" s="30">
        <v>1.5</v>
      </c>
      <c r="H201" s="30">
        <v>0.6</v>
      </c>
      <c r="I201" s="30">
        <f t="shared" si="12"/>
        <v>-0.9</v>
      </c>
      <c r="J201" s="29"/>
      <c r="K201" s="28" t="s">
        <v>369</v>
      </c>
    </row>
    <row r="202" spans="1:11" ht="13.2" x14ac:dyDescent="0.25">
      <c r="A202" s="33">
        <v>45572</v>
      </c>
      <c r="B202" s="28" t="s">
        <v>55</v>
      </c>
      <c r="C202" s="12" t="s">
        <v>16</v>
      </c>
      <c r="D202" s="28" t="s">
        <v>341</v>
      </c>
      <c r="E202" s="13" t="s">
        <v>59</v>
      </c>
      <c r="F202" s="13" t="s">
        <v>60</v>
      </c>
      <c r="G202" s="30">
        <v>4</v>
      </c>
      <c r="H202" s="30">
        <v>3</v>
      </c>
      <c r="I202" s="30">
        <f t="shared" si="12"/>
        <v>-1</v>
      </c>
      <c r="J202" s="48" t="s">
        <v>406</v>
      </c>
      <c r="K202" s="28" t="s">
        <v>370</v>
      </c>
    </row>
    <row r="203" spans="1:11" ht="13.2" x14ac:dyDescent="0.25">
      <c r="A203" s="33" t="s">
        <v>368</v>
      </c>
      <c r="B203" s="28" t="s">
        <v>55</v>
      </c>
      <c r="C203" s="12" t="s">
        <v>16</v>
      </c>
      <c r="D203" s="28" t="s">
        <v>203</v>
      </c>
      <c r="E203" s="13" t="s">
        <v>59</v>
      </c>
      <c r="F203" s="13" t="s">
        <v>60</v>
      </c>
      <c r="G203" s="30">
        <v>1.5</v>
      </c>
      <c r="H203" s="30">
        <v>1.5</v>
      </c>
      <c r="I203" s="30">
        <f t="shared" si="12"/>
        <v>0</v>
      </c>
      <c r="J203" s="48" t="s">
        <v>407</v>
      </c>
      <c r="K203" s="28" t="s">
        <v>408</v>
      </c>
    </row>
    <row r="204" spans="1:11" ht="13.2" x14ac:dyDescent="0.25">
      <c r="A204" s="33">
        <v>45573</v>
      </c>
      <c r="B204" s="28" t="s">
        <v>55</v>
      </c>
      <c r="C204" s="12" t="s">
        <v>16</v>
      </c>
      <c r="D204" s="28" t="s">
        <v>356</v>
      </c>
      <c r="E204" s="13" t="s">
        <v>62</v>
      </c>
      <c r="F204" s="13" t="s">
        <v>54</v>
      </c>
      <c r="G204" s="30">
        <v>0.5</v>
      </c>
      <c r="H204" s="30">
        <v>0.5</v>
      </c>
      <c r="I204" s="30">
        <f t="shared" si="12"/>
        <v>0</v>
      </c>
      <c r="J204" s="29"/>
      <c r="K204" s="28"/>
    </row>
    <row r="205" spans="1:11" ht="13.2" x14ac:dyDescent="0.25">
      <c r="A205" s="33">
        <v>45573</v>
      </c>
      <c r="B205" s="28" t="s">
        <v>55</v>
      </c>
      <c r="C205" s="12" t="s">
        <v>16</v>
      </c>
      <c r="D205" s="28" t="s">
        <v>357</v>
      </c>
      <c r="E205" s="13" t="s">
        <v>47</v>
      </c>
      <c r="F205" s="13" t="s">
        <v>54</v>
      </c>
      <c r="G205" s="30">
        <v>0.25</v>
      </c>
      <c r="H205" s="30">
        <v>0.25</v>
      </c>
      <c r="I205" s="30">
        <f t="shared" si="12"/>
        <v>0</v>
      </c>
      <c r="J205" s="29"/>
      <c r="K205" s="28"/>
    </row>
    <row r="206" spans="1:11" ht="13.2" x14ac:dyDescent="0.25">
      <c r="A206" s="33">
        <v>45573</v>
      </c>
      <c r="B206" s="28" t="s">
        <v>55</v>
      </c>
      <c r="C206" s="12" t="s">
        <v>16</v>
      </c>
      <c r="D206" s="28" t="s">
        <v>218</v>
      </c>
      <c r="E206" s="13" t="s">
        <v>47</v>
      </c>
      <c r="F206" s="13" t="s">
        <v>63</v>
      </c>
      <c r="G206" s="30">
        <v>0.5</v>
      </c>
      <c r="H206" s="30">
        <v>1</v>
      </c>
      <c r="I206" s="30">
        <f t="shared" si="12"/>
        <v>0.5</v>
      </c>
      <c r="J206" s="29"/>
      <c r="K206" s="28" t="s">
        <v>367</v>
      </c>
    </row>
    <row r="207" spans="1:11" ht="13.2" x14ac:dyDescent="0.25">
      <c r="A207" s="33">
        <v>45573</v>
      </c>
      <c r="B207" s="28" t="s">
        <v>55</v>
      </c>
      <c r="C207" s="12" t="s">
        <v>16</v>
      </c>
      <c r="D207" s="28" t="s">
        <v>360</v>
      </c>
      <c r="E207" s="13" t="s">
        <v>64</v>
      </c>
      <c r="F207" s="13" t="s">
        <v>54</v>
      </c>
      <c r="G207" s="30">
        <v>0.25</v>
      </c>
      <c r="H207" s="30">
        <v>0.25</v>
      </c>
      <c r="I207" s="30">
        <f t="shared" si="12"/>
        <v>0</v>
      </c>
      <c r="J207" s="29"/>
      <c r="K207" s="28"/>
    </row>
    <row r="208" spans="1:11" ht="13.2" x14ac:dyDescent="0.25">
      <c r="A208" s="33">
        <v>45573</v>
      </c>
      <c r="B208" s="28" t="s">
        <v>55</v>
      </c>
      <c r="C208" s="12" t="s">
        <v>16</v>
      </c>
      <c r="D208" s="28" t="s">
        <v>358</v>
      </c>
      <c r="E208" s="13" t="s">
        <v>67</v>
      </c>
      <c r="F208" s="13" t="s">
        <v>63</v>
      </c>
      <c r="G208" s="30">
        <v>4</v>
      </c>
      <c r="H208" s="30">
        <v>4.5</v>
      </c>
      <c r="I208" s="30">
        <f t="shared" si="12"/>
        <v>0.5</v>
      </c>
      <c r="J208" s="29"/>
      <c r="K208" s="28" t="s">
        <v>364</v>
      </c>
    </row>
    <row r="209" spans="1:11" ht="13.2" x14ac:dyDescent="0.25">
      <c r="A209" s="33">
        <v>45573</v>
      </c>
      <c r="B209" s="28" t="s">
        <v>55</v>
      </c>
      <c r="C209" s="12" t="s">
        <v>16</v>
      </c>
      <c r="D209" s="28" t="s">
        <v>361</v>
      </c>
      <c r="E209" s="13" t="s">
        <v>46</v>
      </c>
      <c r="F209" s="13" t="s">
        <v>48</v>
      </c>
      <c r="G209" s="30">
        <v>0</v>
      </c>
      <c r="H209" s="30">
        <v>0.25</v>
      </c>
      <c r="I209" s="30">
        <f t="shared" si="12"/>
        <v>0.25</v>
      </c>
      <c r="J209" s="29"/>
      <c r="K209" s="28" t="s">
        <v>365</v>
      </c>
    </row>
    <row r="210" spans="1:11" ht="13.2" x14ac:dyDescent="0.25">
      <c r="A210" s="33">
        <v>45573</v>
      </c>
      <c r="B210" s="28" t="s">
        <v>55</v>
      </c>
      <c r="C210" s="12" t="s">
        <v>16</v>
      </c>
      <c r="D210" s="28" t="s">
        <v>359</v>
      </c>
      <c r="E210" s="13" t="s">
        <v>59</v>
      </c>
      <c r="F210" s="13" t="s">
        <v>63</v>
      </c>
      <c r="G210" s="30">
        <v>2</v>
      </c>
      <c r="H210" s="30">
        <v>1</v>
      </c>
      <c r="I210" s="30">
        <f t="shared" si="12"/>
        <v>-1</v>
      </c>
      <c r="J210" s="48" t="s">
        <v>410</v>
      </c>
      <c r="K210" s="28" t="s">
        <v>411</v>
      </c>
    </row>
    <row r="211" spans="1:11" ht="13.2" x14ac:dyDescent="0.25">
      <c r="A211" s="33">
        <v>45573</v>
      </c>
      <c r="B211" s="28" t="s">
        <v>55</v>
      </c>
      <c r="C211" s="12" t="s">
        <v>16</v>
      </c>
      <c r="D211" s="28" t="s">
        <v>362</v>
      </c>
      <c r="E211" s="13" t="s">
        <v>53</v>
      </c>
      <c r="F211" s="13" t="s">
        <v>63</v>
      </c>
      <c r="G211" s="30">
        <v>0.5</v>
      </c>
      <c r="H211" s="30">
        <v>0.5</v>
      </c>
      <c r="I211" s="30">
        <f t="shared" si="12"/>
        <v>0</v>
      </c>
      <c r="J211" s="48" t="s">
        <v>409</v>
      </c>
      <c r="K211" s="28"/>
    </row>
    <row r="212" spans="1:11" ht="13.2" x14ac:dyDescent="0.25">
      <c r="A212" s="33">
        <v>45573</v>
      </c>
      <c r="B212" s="28" t="s">
        <v>55</v>
      </c>
      <c r="C212" s="12" t="s">
        <v>16</v>
      </c>
      <c r="D212" s="28" t="s">
        <v>363</v>
      </c>
      <c r="E212" s="13" t="s">
        <v>64</v>
      </c>
      <c r="F212" s="13" t="s">
        <v>60</v>
      </c>
      <c r="G212" s="30">
        <v>0.5</v>
      </c>
      <c r="H212" s="30">
        <v>0.5</v>
      </c>
      <c r="I212" s="30">
        <f t="shared" si="12"/>
        <v>0</v>
      </c>
      <c r="J212" s="48" t="s">
        <v>412</v>
      </c>
      <c r="K212" s="28"/>
    </row>
    <row r="213" spans="1:11" ht="13.2" x14ac:dyDescent="0.25">
      <c r="A213" s="33">
        <v>45573</v>
      </c>
      <c r="B213" s="28" t="s">
        <v>55</v>
      </c>
      <c r="C213" s="12" t="s">
        <v>16</v>
      </c>
      <c r="D213" s="28" t="s">
        <v>366</v>
      </c>
      <c r="E213" s="13" t="s">
        <v>64</v>
      </c>
      <c r="F213" s="13" t="s">
        <v>54</v>
      </c>
      <c r="G213" s="30">
        <v>0.25</v>
      </c>
      <c r="H213" s="30">
        <v>0.25</v>
      </c>
      <c r="I213" s="30">
        <f t="shared" si="12"/>
        <v>0</v>
      </c>
      <c r="J213" s="29"/>
      <c r="K213" s="28"/>
    </row>
    <row r="214" spans="1:11" ht="13.2" x14ac:dyDescent="0.25">
      <c r="A214" s="33">
        <v>45575</v>
      </c>
      <c r="B214" s="28" t="s">
        <v>55</v>
      </c>
      <c r="C214" s="12" t="s">
        <v>16</v>
      </c>
      <c r="D214" s="28" t="s">
        <v>371</v>
      </c>
      <c r="E214" s="13" t="s">
        <v>59</v>
      </c>
      <c r="F214" s="13" t="s">
        <v>60</v>
      </c>
      <c r="G214" s="30">
        <v>3</v>
      </c>
      <c r="H214" s="30">
        <v>3</v>
      </c>
      <c r="I214" s="30">
        <f t="shared" si="12"/>
        <v>0</v>
      </c>
      <c r="J214" s="48" t="s">
        <v>413</v>
      </c>
      <c r="K214" s="28"/>
    </row>
    <row r="215" spans="1:11" ht="13.2" x14ac:dyDescent="0.25">
      <c r="A215" s="33">
        <v>45575</v>
      </c>
      <c r="B215" s="28" t="s">
        <v>55</v>
      </c>
      <c r="C215" s="12" t="s">
        <v>16</v>
      </c>
      <c r="D215" s="28" t="s">
        <v>372</v>
      </c>
      <c r="E215" s="13" t="s">
        <v>67</v>
      </c>
      <c r="F215" s="13" t="s">
        <v>60</v>
      </c>
      <c r="G215" s="30">
        <v>1.5</v>
      </c>
      <c r="H215" s="30">
        <v>1</v>
      </c>
      <c r="I215" s="30">
        <f t="shared" si="12"/>
        <v>-0.5</v>
      </c>
      <c r="J215" s="48" t="s">
        <v>414</v>
      </c>
      <c r="K215" s="28" t="s">
        <v>421</v>
      </c>
    </row>
    <row r="216" spans="1:11" ht="13.2" x14ac:dyDescent="0.25">
      <c r="A216" s="33">
        <v>45576</v>
      </c>
      <c r="B216" s="28" t="s">
        <v>55</v>
      </c>
      <c r="C216" s="12" t="s">
        <v>16</v>
      </c>
      <c r="D216" s="28" t="s">
        <v>376</v>
      </c>
      <c r="E216" s="13" t="s">
        <v>62</v>
      </c>
      <c r="F216" s="13" t="s">
        <v>54</v>
      </c>
      <c r="G216" s="30">
        <v>0.25</v>
      </c>
      <c r="H216" s="30">
        <v>0.25</v>
      </c>
      <c r="I216" s="30">
        <f t="shared" si="12"/>
        <v>0</v>
      </c>
      <c r="J216" s="29"/>
      <c r="K216" s="28"/>
    </row>
    <row r="217" spans="1:11" ht="13.2" x14ac:dyDescent="0.25">
      <c r="A217" s="33">
        <v>45576</v>
      </c>
      <c r="B217" s="28" t="s">
        <v>55</v>
      </c>
      <c r="C217" s="12" t="s">
        <v>16</v>
      </c>
      <c r="D217" s="28" t="s">
        <v>357</v>
      </c>
      <c r="E217" s="13" t="s">
        <v>47</v>
      </c>
      <c r="F217" s="13" t="s">
        <v>54</v>
      </c>
      <c r="G217" s="30">
        <v>0.25</v>
      </c>
      <c r="H217" s="30">
        <v>0.25</v>
      </c>
      <c r="I217" s="30">
        <f t="shared" si="12"/>
        <v>0</v>
      </c>
      <c r="J217" s="29"/>
      <c r="K217" s="28"/>
    </row>
    <row r="218" spans="1:11" ht="13.2" x14ac:dyDescent="0.25">
      <c r="A218" s="33">
        <v>45576</v>
      </c>
      <c r="B218" s="28" t="s">
        <v>55</v>
      </c>
      <c r="C218" s="12" t="s">
        <v>16</v>
      </c>
      <c r="D218" s="28" t="s">
        <v>377</v>
      </c>
      <c r="E218" s="13" t="s">
        <v>67</v>
      </c>
      <c r="F218" s="13" t="s">
        <v>48</v>
      </c>
      <c r="G218" s="30">
        <v>0.75</v>
      </c>
      <c r="H218" s="30">
        <v>0.75</v>
      </c>
      <c r="I218" s="30">
        <f t="shared" si="12"/>
        <v>0</v>
      </c>
      <c r="J218" s="48" t="s">
        <v>416</v>
      </c>
      <c r="K218" s="28"/>
    </row>
    <row r="219" spans="1:11" ht="13.2" x14ac:dyDescent="0.25">
      <c r="A219" s="33">
        <v>45576</v>
      </c>
      <c r="B219" s="28" t="s">
        <v>55</v>
      </c>
      <c r="C219" s="12" t="s">
        <v>16</v>
      </c>
      <c r="D219" s="28" t="s">
        <v>373</v>
      </c>
      <c r="E219" s="13" t="s">
        <v>66</v>
      </c>
      <c r="F219" s="13" t="s">
        <v>48</v>
      </c>
      <c r="G219" s="30">
        <v>2</v>
      </c>
      <c r="H219" s="30">
        <v>2</v>
      </c>
      <c r="I219" s="30">
        <f t="shared" si="12"/>
        <v>0</v>
      </c>
      <c r="J219" s="29"/>
      <c r="K219" s="28"/>
    </row>
    <row r="220" spans="1:11" ht="13.2" x14ac:dyDescent="0.25">
      <c r="A220" s="33">
        <v>45576</v>
      </c>
      <c r="B220" s="28" t="s">
        <v>55</v>
      </c>
      <c r="C220" s="12" t="s">
        <v>16</v>
      </c>
      <c r="D220" s="28" t="s">
        <v>378</v>
      </c>
      <c r="E220" s="13" t="s">
        <v>47</v>
      </c>
      <c r="F220" s="13" t="s">
        <v>48</v>
      </c>
      <c r="G220" s="30">
        <v>0.1</v>
      </c>
      <c r="H220" s="30">
        <v>0.1</v>
      </c>
      <c r="I220" s="30">
        <f t="shared" si="12"/>
        <v>0</v>
      </c>
      <c r="J220" s="29"/>
      <c r="K220" s="28"/>
    </row>
    <row r="221" spans="1:11" ht="13.2" x14ac:dyDescent="0.25">
      <c r="A221" s="33">
        <v>45576</v>
      </c>
      <c r="B221" s="28" t="s">
        <v>55</v>
      </c>
      <c r="C221" s="12" t="s">
        <v>16</v>
      </c>
      <c r="D221" s="28" t="s">
        <v>218</v>
      </c>
      <c r="E221" s="13" t="s">
        <v>47</v>
      </c>
      <c r="F221" s="13" t="s">
        <v>60</v>
      </c>
      <c r="G221" s="30">
        <v>1</v>
      </c>
      <c r="H221" s="30">
        <v>1</v>
      </c>
      <c r="I221" s="30">
        <f t="shared" si="12"/>
        <v>0</v>
      </c>
      <c r="J221" s="48" t="s">
        <v>420</v>
      </c>
      <c r="K221" s="28"/>
    </row>
    <row r="222" spans="1:11" ht="13.2" x14ac:dyDescent="0.25">
      <c r="A222" s="33">
        <v>45576</v>
      </c>
      <c r="B222" s="28" t="s">
        <v>55</v>
      </c>
      <c r="C222" s="12" t="s">
        <v>16</v>
      </c>
      <c r="D222" s="28" t="s">
        <v>328</v>
      </c>
      <c r="E222" s="13" t="s">
        <v>47</v>
      </c>
      <c r="F222" s="13" t="s">
        <v>60</v>
      </c>
      <c r="G222" s="30">
        <v>0.5</v>
      </c>
      <c r="H222" s="30">
        <v>0.5</v>
      </c>
      <c r="I222" s="30">
        <f t="shared" si="12"/>
        <v>0</v>
      </c>
      <c r="J222" s="29"/>
      <c r="K222" s="28"/>
    </row>
    <row r="223" spans="1:11" ht="13.2" x14ac:dyDescent="0.25">
      <c r="A223" s="33">
        <v>45576</v>
      </c>
      <c r="B223" s="28" t="s">
        <v>55</v>
      </c>
      <c r="C223" s="12" t="s">
        <v>16</v>
      </c>
      <c r="D223" s="28" t="s">
        <v>374</v>
      </c>
      <c r="E223" s="13" t="s">
        <v>53</v>
      </c>
      <c r="F223" s="13" t="s">
        <v>60</v>
      </c>
      <c r="G223" s="30">
        <v>2</v>
      </c>
      <c r="H223" s="30">
        <v>2</v>
      </c>
      <c r="I223" s="30">
        <f t="shared" si="12"/>
        <v>0</v>
      </c>
      <c r="J223" s="48" t="s">
        <v>415</v>
      </c>
      <c r="K223" s="28"/>
    </row>
    <row r="224" spans="1:11" ht="13.2" x14ac:dyDescent="0.25">
      <c r="A224" s="33">
        <v>45576</v>
      </c>
      <c r="B224" s="28" t="s">
        <v>55</v>
      </c>
      <c r="C224" s="12" t="s">
        <v>16</v>
      </c>
      <c r="D224" s="28" t="s">
        <v>379</v>
      </c>
      <c r="E224" s="13" t="s">
        <v>53</v>
      </c>
      <c r="F224" s="13" t="s">
        <v>54</v>
      </c>
      <c r="G224" s="30">
        <v>1</v>
      </c>
      <c r="H224" s="30">
        <v>1</v>
      </c>
      <c r="I224" s="30">
        <f t="shared" si="12"/>
        <v>0</v>
      </c>
      <c r="J224" s="48" t="s">
        <v>417</v>
      </c>
      <c r="K224" s="28"/>
    </row>
    <row r="225" spans="1:11" ht="13.2" x14ac:dyDescent="0.25">
      <c r="A225" s="33">
        <v>45576</v>
      </c>
      <c r="B225" s="28" t="s">
        <v>61</v>
      </c>
      <c r="C225" s="12" t="s">
        <v>16</v>
      </c>
      <c r="D225" s="28" t="s">
        <v>375</v>
      </c>
      <c r="E225" s="13" t="s">
        <v>47</v>
      </c>
      <c r="F225" s="13" t="s">
        <v>60</v>
      </c>
      <c r="G225" s="30">
        <v>1</v>
      </c>
      <c r="H225" s="30">
        <v>0</v>
      </c>
      <c r="I225" s="30">
        <f t="shared" si="12"/>
        <v>-1</v>
      </c>
      <c r="J225" s="29"/>
      <c r="K225" s="28" t="s">
        <v>380</v>
      </c>
    </row>
    <row r="226" spans="1:11" ht="13.2" x14ac:dyDescent="0.25">
      <c r="A226" s="33">
        <v>45576</v>
      </c>
      <c r="B226" s="28" t="s">
        <v>55</v>
      </c>
      <c r="C226" s="12" t="s">
        <v>16</v>
      </c>
      <c r="D226" s="28" t="s">
        <v>418</v>
      </c>
      <c r="E226" s="13" t="s">
        <v>45</v>
      </c>
      <c r="F226" s="13" t="s">
        <v>54</v>
      </c>
      <c r="G226" s="30">
        <v>0.5</v>
      </c>
      <c r="H226" s="30">
        <v>0.5</v>
      </c>
      <c r="I226" s="30">
        <f t="shared" si="12"/>
        <v>0</v>
      </c>
      <c r="J226" s="48" t="s">
        <v>419</v>
      </c>
      <c r="K226" s="28"/>
    </row>
    <row r="227" spans="1:11" ht="13.2" x14ac:dyDescent="0.25">
      <c r="A227" s="33">
        <v>45576</v>
      </c>
      <c r="B227" s="28" t="s">
        <v>55</v>
      </c>
      <c r="C227" s="12" t="s">
        <v>16</v>
      </c>
      <c r="D227" s="28" t="s">
        <v>257</v>
      </c>
      <c r="E227" s="13" t="s">
        <v>64</v>
      </c>
      <c r="F227" s="13" t="s">
        <v>54</v>
      </c>
      <c r="G227" s="30">
        <v>1</v>
      </c>
      <c r="H227" s="30">
        <v>1</v>
      </c>
      <c r="I227" s="30">
        <f t="shared" si="12"/>
        <v>0</v>
      </c>
      <c r="J227" s="48"/>
      <c r="K227" s="28"/>
    </row>
    <row r="228" spans="1:11" ht="13.2" x14ac:dyDescent="0.25">
      <c r="A228" s="33">
        <v>45576</v>
      </c>
      <c r="B228" s="28" t="s">
        <v>55</v>
      </c>
      <c r="C228" s="12" t="s">
        <v>16</v>
      </c>
      <c r="D228" s="28" t="s">
        <v>422</v>
      </c>
      <c r="E228" s="13" t="s">
        <v>64</v>
      </c>
      <c r="F228" s="13" t="s">
        <v>54</v>
      </c>
      <c r="G228" s="30">
        <v>1</v>
      </c>
      <c r="H228" s="30">
        <v>1</v>
      </c>
      <c r="I228" s="30">
        <f t="shared" si="12"/>
        <v>0</v>
      </c>
      <c r="J228" s="48"/>
      <c r="K228" s="28"/>
    </row>
    <row r="229" spans="1:11" ht="13.2" x14ac:dyDescent="0.25">
      <c r="A229" s="19"/>
      <c r="B229" s="21"/>
      <c r="C229" s="21"/>
      <c r="D229" s="21"/>
      <c r="E229" s="21" t="s">
        <v>18</v>
      </c>
      <c r="F229" s="21"/>
      <c r="G229" s="24">
        <f>SUM(G198:G228)</f>
        <v>33.6</v>
      </c>
      <c r="H229" s="24">
        <f>SUM(H198:H228)</f>
        <v>30.450000000000003</v>
      </c>
      <c r="I229" s="24">
        <f t="shared" si="12"/>
        <v>-3.1499999999999986</v>
      </c>
      <c r="J229" s="25"/>
      <c r="K229" s="21"/>
    </row>
    <row r="230" spans="1:11" ht="18.75" customHeight="1" x14ac:dyDescent="0.25">
      <c r="A230" s="72" t="s">
        <v>25</v>
      </c>
      <c r="B230" s="56"/>
      <c r="C230" s="56"/>
      <c r="D230" s="56"/>
      <c r="E230" s="56"/>
      <c r="F230" s="56"/>
      <c r="G230" s="56"/>
      <c r="H230" s="56"/>
      <c r="I230" s="56"/>
      <c r="J230" s="56"/>
      <c r="K230" s="57"/>
    </row>
    <row r="231" spans="1:11" ht="13.2" x14ac:dyDescent="0.25">
      <c r="A231" s="40" t="s">
        <v>12</v>
      </c>
      <c r="B231" s="73" t="s">
        <v>13</v>
      </c>
      <c r="C231" s="56"/>
      <c r="D231" s="56"/>
      <c r="E231" s="56"/>
      <c r="F231" s="56"/>
      <c r="G231" s="56"/>
      <c r="H231" s="56"/>
      <c r="I231" s="56"/>
      <c r="J231" s="56"/>
      <c r="K231" s="57"/>
    </row>
    <row r="232" spans="1:11" ht="28.5" customHeight="1" x14ac:dyDescent="0.25">
      <c r="A232" s="41" t="s">
        <v>14</v>
      </c>
      <c r="B232" s="73" t="s">
        <v>15</v>
      </c>
      <c r="C232" s="56"/>
      <c r="D232" s="56"/>
      <c r="E232" s="56"/>
      <c r="F232" s="56"/>
      <c r="G232" s="56"/>
      <c r="H232" s="56"/>
      <c r="I232" s="56"/>
      <c r="J232" s="56"/>
      <c r="K232" s="57"/>
    </row>
    <row r="233" spans="1:11" ht="13.2" x14ac:dyDescent="0.25">
      <c r="A233" s="33">
        <v>45579</v>
      </c>
      <c r="B233" s="28" t="s">
        <v>55</v>
      </c>
      <c r="C233" s="12" t="s">
        <v>16</v>
      </c>
      <c r="D233" s="28" t="s">
        <v>381</v>
      </c>
      <c r="E233" s="13" t="s">
        <v>62</v>
      </c>
      <c r="F233" s="13" t="s">
        <v>54</v>
      </c>
      <c r="G233" s="30">
        <v>0.5</v>
      </c>
      <c r="H233" s="30">
        <v>0.5</v>
      </c>
      <c r="I233" s="30">
        <f t="shared" ref="I233:I250" si="13">H233-G233</f>
        <v>0</v>
      </c>
      <c r="J233" s="48" t="s">
        <v>430</v>
      </c>
      <c r="K233" s="28"/>
    </row>
    <row r="234" spans="1:11" ht="13.2" x14ac:dyDescent="0.25">
      <c r="A234" s="33">
        <v>45579</v>
      </c>
      <c r="B234" s="28" t="s">
        <v>55</v>
      </c>
      <c r="C234" s="12" t="s">
        <v>16</v>
      </c>
      <c r="D234" s="28" t="s">
        <v>382</v>
      </c>
      <c r="E234" s="13" t="s">
        <v>62</v>
      </c>
      <c r="F234" s="13" t="s">
        <v>54</v>
      </c>
      <c r="G234" s="30">
        <v>0.5</v>
      </c>
      <c r="H234" s="30">
        <v>0.5</v>
      </c>
      <c r="I234" s="30">
        <f t="shared" si="13"/>
        <v>0</v>
      </c>
      <c r="J234" s="48" t="s">
        <v>431</v>
      </c>
      <c r="K234" s="28"/>
    </row>
    <row r="235" spans="1:11" ht="13.2" x14ac:dyDescent="0.25">
      <c r="A235" s="33">
        <v>45579</v>
      </c>
      <c r="B235" s="28" t="s">
        <v>55</v>
      </c>
      <c r="C235" s="12" t="s">
        <v>16</v>
      </c>
      <c r="D235" s="28" t="s">
        <v>383</v>
      </c>
      <c r="E235" s="13" t="s">
        <v>67</v>
      </c>
      <c r="F235" s="13" t="s">
        <v>60</v>
      </c>
      <c r="G235" s="30">
        <v>2</v>
      </c>
      <c r="H235" s="30">
        <v>2</v>
      </c>
      <c r="I235" s="30">
        <f t="shared" si="13"/>
        <v>0</v>
      </c>
      <c r="J235" s="48" t="s">
        <v>432</v>
      </c>
      <c r="K235" s="28"/>
    </row>
    <row r="236" spans="1:11" ht="13.2" x14ac:dyDescent="0.25">
      <c r="A236" s="33" t="s">
        <v>423</v>
      </c>
      <c r="B236" s="28" t="s">
        <v>55</v>
      </c>
      <c r="C236" s="12" t="s">
        <v>16</v>
      </c>
      <c r="D236" s="28" t="s">
        <v>384</v>
      </c>
      <c r="E236" s="13" t="s">
        <v>59</v>
      </c>
      <c r="F236" s="13" t="s">
        <v>60</v>
      </c>
      <c r="G236" s="30">
        <v>0.5</v>
      </c>
      <c r="H236" s="30">
        <v>4.16</v>
      </c>
      <c r="I236" s="30">
        <f t="shared" si="13"/>
        <v>3.66</v>
      </c>
      <c r="J236" s="48" t="s">
        <v>433</v>
      </c>
      <c r="K236" s="28" t="s">
        <v>427</v>
      </c>
    </row>
    <row r="237" spans="1:11" ht="13.2" x14ac:dyDescent="0.25">
      <c r="A237" s="33">
        <v>45589</v>
      </c>
      <c r="B237" s="28" t="s">
        <v>55</v>
      </c>
      <c r="C237" s="12" t="s">
        <v>16</v>
      </c>
      <c r="D237" s="28" t="s">
        <v>385</v>
      </c>
      <c r="E237" s="13" t="s">
        <v>53</v>
      </c>
      <c r="F237" s="13" t="s">
        <v>60</v>
      </c>
      <c r="G237" s="30">
        <v>0.5</v>
      </c>
      <c r="H237" s="30">
        <v>0.5</v>
      </c>
      <c r="I237" s="30">
        <f t="shared" si="13"/>
        <v>0</v>
      </c>
      <c r="J237" s="29"/>
      <c r="K237" s="28"/>
    </row>
    <row r="238" spans="1:11" ht="13.2" x14ac:dyDescent="0.25">
      <c r="A238" s="33">
        <v>45589</v>
      </c>
      <c r="B238" s="28" t="s">
        <v>55</v>
      </c>
      <c r="C238" s="12" t="s">
        <v>16</v>
      </c>
      <c r="D238" s="28" t="s">
        <v>386</v>
      </c>
      <c r="E238" s="13" t="s">
        <v>59</v>
      </c>
      <c r="F238" s="13" t="s">
        <v>63</v>
      </c>
      <c r="G238" s="30">
        <v>2</v>
      </c>
      <c r="H238" s="30">
        <v>3</v>
      </c>
      <c r="I238" s="30">
        <f t="shared" si="13"/>
        <v>1</v>
      </c>
      <c r="J238" s="48" t="s">
        <v>434</v>
      </c>
      <c r="K238" s="28" t="s">
        <v>428</v>
      </c>
    </row>
    <row r="239" spans="1:11" ht="13.2" x14ac:dyDescent="0.25">
      <c r="A239" s="33">
        <v>45589</v>
      </c>
      <c r="B239" s="28" t="s">
        <v>55</v>
      </c>
      <c r="C239" s="12" t="s">
        <v>16</v>
      </c>
      <c r="D239" s="28" t="s">
        <v>247</v>
      </c>
      <c r="E239" s="13" t="s">
        <v>67</v>
      </c>
      <c r="F239" s="13" t="s">
        <v>63</v>
      </c>
      <c r="G239" s="30">
        <v>1</v>
      </c>
      <c r="H239" s="30">
        <v>0.5</v>
      </c>
      <c r="I239" s="30">
        <f t="shared" si="13"/>
        <v>-0.5</v>
      </c>
      <c r="J239" s="48" t="s">
        <v>435</v>
      </c>
      <c r="K239" s="28" t="s">
        <v>429</v>
      </c>
    </row>
    <row r="240" spans="1:11" ht="13.2" x14ac:dyDescent="0.25">
      <c r="A240" s="33">
        <v>45589</v>
      </c>
      <c r="B240" s="28" t="s">
        <v>55</v>
      </c>
      <c r="C240" s="12" t="s">
        <v>16</v>
      </c>
      <c r="D240" s="28" t="s">
        <v>387</v>
      </c>
      <c r="E240" s="13" t="s">
        <v>64</v>
      </c>
      <c r="F240" s="13" t="s">
        <v>54</v>
      </c>
      <c r="G240" s="30">
        <v>0.5</v>
      </c>
      <c r="H240" s="30">
        <v>0.5</v>
      </c>
      <c r="I240" s="30">
        <f t="shared" si="13"/>
        <v>0</v>
      </c>
      <c r="J240" s="48" t="s">
        <v>436</v>
      </c>
      <c r="K240" s="28"/>
    </row>
    <row r="241" spans="1:11" ht="13.2" x14ac:dyDescent="0.25">
      <c r="A241" s="33" t="s">
        <v>439</v>
      </c>
      <c r="B241" s="28" t="s">
        <v>55</v>
      </c>
      <c r="C241" s="12" t="s">
        <v>16</v>
      </c>
      <c r="D241" s="28" t="s">
        <v>424</v>
      </c>
      <c r="E241" s="13" t="s">
        <v>53</v>
      </c>
      <c r="F241" s="13" t="s">
        <v>63</v>
      </c>
      <c r="G241" s="30">
        <v>3.5</v>
      </c>
      <c r="H241" s="30">
        <v>4.34</v>
      </c>
      <c r="I241" s="30">
        <f t="shared" si="13"/>
        <v>0.83999999999999986</v>
      </c>
      <c r="J241" s="48" t="s">
        <v>442</v>
      </c>
      <c r="K241" s="28" t="s">
        <v>443</v>
      </c>
    </row>
    <row r="242" spans="1:11" ht="13.2" x14ac:dyDescent="0.25">
      <c r="A242" s="33" t="s">
        <v>445</v>
      </c>
      <c r="B242" s="28" t="s">
        <v>55</v>
      </c>
      <c r="C242" s="12" t="s">
        <v>16</v>
      </c>
      <c r="D242" s="28" t="s">
        <v>425</v>
      </c>
      <c r="E242" s="13" t="s">
        <v>59</v>
      </c>
      <c r="F242" s="13" t="s">
        <v>63</v>
      </c>
      <c r="G242" s="30">
        <v>3</v>
      </c>
      <c r="H242" s="30">
        <v>3</v>
      </c>
      <c r="I242" s="30">
        <f t="shared" si="13"/>
        <v>0</v>
      </c>
      <c r="J242" s="48" t="s">
        <v>447</v>
      </c>
      <c r="K242" s="28" t="s">
        <v>446</v>
      </c>
    </row>
    <row r="243" spans="1:11" ht="13.2" x14ac:dyDescent="0.25">
      <c r="A243" s="33">
        <v>45590</v>
      </c>
      <c r="B243" s="28" t="s">
        <v>55</v>
      </c>
      <c r="C243" s="12" t="s">
        <v>16</v>
      </c>
      <c r="D243" s="28" t="s">
        <v>438</v>
      </c>
      <c r="E243" s="13" t="s">
        <v>50</v>
      </c>
      <c r="F243" s="13" t="s">
        <v>17</v>
      </c>
      <c r="G243" s="30">
        <v>4</v>
      </c>
      <c r="H243" s="30">
        <v>4</v>
      </c>
      <c r="I243" s="30">
        <f>H243-G243</f>
        <v>0</v>
      </c>
      <c r="J243" s="48" t="s">
        <v>444</v>
      </c>
      <c r="K243" s="28"/>
    </row>
    <row r="244" spans="1:11" ht="13.2" x14ac:dyDescent="0.25">
      <c r="A244" s="33" t="s">
        <v>489</v>
      </c>
      <c r="B244" s="28" t="s">
        <v>55</v>
      </c>
      <c r="C244" s="12" t="s">
        <v>16</v>
      </c>
      <c r="D244" s="28" t="s">
        <v>426</v>
      </c>
      <c r="E244" s="13" t="s">
        <v>45</v>
      </c>
      <c r="F244" s="13" t="s">
        <v>63</v>
      </c>
      <c r="G244" s="30">
        <v>4</v>
      </c>
      <c r="H244" s="30">
        <v>4</v>
      </c>
      <c r="I244" s="30">
        <f t="shared" si="13"/>
        <v>0</v>
      </c>
      <c r="J244" s="51" t="s">
        <v>497</v>
      </c>
      <c r="K244" s="28"/>
    </row>
    <row r="245" spans="1:11" ht="13.2" x14ac:dyDescent="0.25">
      <c r="A245" s="33" t="s">
        <v>450</v>
      </c>
      <c r="B245" s="28" t="s">
        <v>55</v>
      </c>
      <c r="C245" s="12" t="s">
        <v>16</v>
      </c>
      <c r="D245" s="28" t="s">
        <v>437</v>
      </c>
      <c r="E245" s="13" t="s">
        <v>59</v>
      </c>
      <c r="F245" s="13" t="s">
        <v>63</v>
      </c>
      <c r="G245" s="30">
        <v>4</v>
      </c>
      <c r="H245" s="30">
        <v>6</v>
      </c>
      <c r="I245" s="30">
        <f t="shared" si="13"/>
        <v>2</v>
      </c>
      <c r="J245" s="48" t="s">
        <v>452</v>
      </c>
      <c r="K245" s="28" t="s">
        <v>451</v>
      </c>
    </row>
    <row r="246" spans="1:11" ht="13.2" x14ac:dyDescent="0.25">
      <c r="A246" s="33">
        <v>45591</v>
      </c>
      <c r="B246" s="28" t="s">
        <v>55</v>
      </c>
      <c r="C246" s="12" t="s">
        <v>16</v>
      </c>
      <c r="D246" s="28" t="s">
        <v>448</v>
      </c>
      <c r="E246" s="13" t="s">
        <v>67</v>
      </c>
      <c r="F246" s="13" t="s">
        <v>54</v>
      </c>
      <c r="G246" s="30">
        <v>0.1</v>
      </c>
      <c r="H246" s="30">
        <v>0.1</v>
      </c>
      <c r="I246" s="30">
        <f t="shared" si="13"/>
        <v>0</v>
      </c>
      <c r="J246" s="48" t="s">
        <v>453</v>
      </c>
      <c r="K246" s="28"/>
    </row>
    <row r="247" spans="1:11" ht="13.2" x14ac:dyDescent="0.25">
      <c r="A247" s="33" t="s">
        <v>450</v>
      </c>
      <c r="B247" s="28" t="s">
        <v>55</v>
      </c>
      <c r="C247" s="12" t="s">
        <v>16</v>
      </c>
      <c r="D247" s="28" t="s">
        <v>449</v>
      </c>
      <c r="E247" s="13" t="s">
        <v>59</v>
      </c>
      <c r="F247" s="13" t="s">
        <v>54</v>
      </c>
      <c r="G247" s="30">
        <v>4</v>
      </c>
      <c r="H247" s="30">
        <v>4.3</v>
      </c>
      <c r="I247" s="30">
        <f t="shared" si="13"/>
        <v>0.29999999999999982</v>
      </c>
      <c r="J247" s="48" t="s">
        <v>454</v>
      </c>
      <c r="K247" s="28"/>
    </row>
    <row r="248" spans="1:11" ht="13.2" x14ac:dyDescent="0.25">
      <c r="A248" s="33">
        <v>45596</v>
      </c>
      <c r="B248" s="28" t="s">
        <v>55</v>
      </c>
      <c r="C248" s="12" t="s">
        <v>16</v>
      </c>
      <c r="D248" s="28" t="s">
        <v>441</v>
      </c>
      <c r="E248" s="13" t="s">
        <v>64</v>
      </c>
      <c r="F248" s="13" t="s">
        <v>54</v>
      </c>
      <c r="G248" s="30">
        <v>1</v>
      </c>
      <c r="H248" s="30">
        <v>1</v>
      </c>
      <c r="I248" s="30">
        <f t="shared" si="13"/>
        <v>0</v>
      </c>
      <c r="J248" s="48" t="s">
        <v>512</v>
      </c>
      <c r="K248" s="28"/>
    </row>
    <row r="249" spans="1:11" ht="13.2" x14ac:dyDescent="0.25">
      <c r="A249" s="33">
        <v>45596</v>
      </c>
      <c r="B249" s="28" t="s">
        <v>55</v>
      </c>
      <c r="C249" s="12" t="s">
        <v>16</v>
      </c>
      <c r="D249" s="28" t="s">
        <v>440</v>
      </c>
      <c r="E249" s="13" t="s">
        <v>64</v>
      </c>
      <c r="F249" s="13" t="s">
        <v>54</v>
      </c>
      <c r="G249" s="30">
        <v>1.5</v>
      </c>
      <c r="H249" s="30">
        <v>1.5</v>
      </c>
      <c r="I249" s="30">
        <f t="shared" si="13"/>
        <v>0</v>
      </c>
      <c r="J249" s="48" t="s">
        <v>513</v>
      </c>
      <c r="K249" s="28"/>
    </row>
    <row r="250" spans="1:11" ht="13.2" x14ac:dyDescent="0.25">
      <c r="A250" s="19"/>
      <c r="B250" s="21"/>
      <c r="C250" s="21"/>
      <c r="D250" s="21"/>
      <c r="E250" s="21" t="s">
        <v>18</v>
      </c>
      <c r="F250" s="21"/>
      <c r="G250" s="24">
        <f>SUM(G233:G249)</f>
        <v>32.6</v>
      </c>
      <c r="H250" s="24">
        <f>SUM(H233:H249)</f>
        <v>39.9</v>
      </c>
      <c r="I250" s="24">
        <f t="shared" si="13"/>
        <v>7.2999999999999972</v>
      </c>
      <c r="J250" s="25"/>
      <c r="K250" s="21"/>
    </row>
    <row r="251" spans="1:11" ht="13.2" x14ac:dyDescent="0.25">
      <c r="A251" s="66" t="s">
        <v>26</v>
      </c>
      <c r="B251" s="56"/>
      <c r="C251" s="56"/>
      <c r="D251" s="56"/>
      <c r="E251" s="56"/>
      <c r="F251" s="56"/>
      <c r="G251" s="56"/>
      <c r="H251" s="56"/>
      <c r="I251" s="56"/>
      <c r="J251" s="56"/>
      <c r="K251" s="57"/>
    </row>
    <row r="252" spans="1:11" ht="13.2" x14ac:dyDescent="0.25">
      <c r="A252" s="42" t="s">
        <v>12</v>
      </c>
      <c r="B252" s="67" t="s">
        <v>13</v>
      </c>
      <c r="C252" s="54"/>
      <c r="D252" s="54"/>
      <c r="E252" s="54"/>
      <c r="F252" s="54"/>
      <c r="G252" s="54"/>
      <c r="H252" s="54"/>
      <c r="I252" s="54"/>
      <c r="J252" s="54"/>
      <c r="K252" s="68"/>
    </row>
    <row r="253" spans="1:11" ht="27.75" customHeight="1" x14ac:dyDescent="0.25">
      <c r="A253" s="43" t="s">
        <v>14</v>
      </c>
      <c r="B253" s="69" t="s">
        <v>15</v>
      </c>
      <c r="C253" s="54"/>
      <c r="D253" s="54"/>
      <c r="E253" s="54"/>
      <c r="F253" s="54"/>
      <c r="G253" s="54"/>
      <c r="H253" s="54"/>
      <c r="I253" s="54"/>
      <c r="J253" s="54"/>
      <c r="K253" s="68"/>
    </row>
    <row r="254" spans="1:11" ht="13.2" x14ac:dyDescent="0.25">
      <c r="A254" s="33">
        <v>45593</v>
      </c>
      <c r="B254" s="28" t="s">
        <v>55</v>
      </c>
      <c r="C254" s="12" t="s">
        <v>16</v>
      </c>
      <c r="D254" s="28" t="s">
        <v>455</v>
      </c>
      <c r="E254" s="13" t="s">
        <v>62</v>
      </c>
      <c r="F254" s="13" t="s">
        <v>54</v>
      </c>
      <c r="G254" s="30">
        <v>0.5</v>
      </c>
      <c r="H254" s="30">
        <v>0.5</v>
      </c>
      <c r="I254" s="30">
        <f t="shared" ref="I254:I296" si="14">H254-G254</f>
        <v>0</v>
      </c>
      <c r="J254" s="48" t="s">
        <v>475</v>
      </c>
      <c r="K254" s="28"/>
    </row>
    <row r="255" spans="1:11" ht="13.2" x14ac:dyDescent="0.25">
      <c r="A255" s="33">
        <v>45593</v>
      </c>
      <c r="B255" s="28" t="s">
        <v>55</v>
      </c>
      <c r="C255" s="12" t="s">
        <v>16</v>
      </c>
      <c r="D255" s="28" t="s">
        <v>456</v>
      </c>
      <c r="E255" s="13" t="s">
        <v>62</v>
      </c>
      <c r="F255" s="13" t="s">
        <v>54</v>
      </c>
      <c r="G255" s="30">
        <v>0.5</v>
      </c>
      <c r="H255" s="30">
        <v>0.5</v>
      </c>
      <c r="I255" s="30">
        <f t="shared" si="14"/>
        <v>0</v>
      </c>
      <c r="J255" s="48" t="s">
        <v>474</v>
      </c>
      <c r="K255" s="28"/>
    </row>
    <row r="256" spans="1:11" ht="13.2" x14ac:dyDescent="0.25">
      <c r="A256" s="33">
        <v>45593</v>
      </c>
      <c r="B256" s="28" t="s">
        <v>55</v>
      </c>
      <c r="C256" s="12" t="s">
        <v>16</v>
      </c>
      <c r="D256" s="28" t="s">
        <v>458</v>
      </c>
      <c r="E256" s="13" t="s">
        <v>59</v>
      </c>
      <c r="F256" s="13" t="s">
        <v>63</v>
      </c>
      <c r="G256" s="30">
        <v>3</v>
      </c>
      <c r="H256" s="30">
        <v>4</v>
      </c>
      <c r="I256" s="30">
        <f t="shared" si="14"/>
        <v>1</v>
      </c>
      <c r="J256" s="48" t="s">
        <v>476</v>
      </c>
      <c r="K256" s="28" t="s">
        <v>467</v>
      </c>
    </row>
    <row r="257" spans="1:11" ht="13.2" x14ac:dyDescent="0.25">
      <c r="A257" s="33">
        <v>45593</v>
      </c>
      <c r="B257" s="28" t="s">
        <v>55</v>
      </c>
      <c r="C257" s="12" t="s">
        <v>16</v>
      </c>
      <c r="D257" s="28" t="s">
        <v>461</v>
      </c>
      <c r="E257" s="13" t="s">
        <v>59</v>
      </c>
      <c r="F257" s="13" t="s">
        <v>63</v>
      </c>
      <c r="G257" s="30">
        <v>1.5</v>
      </c>
      <c r="H257" s="30">
        <v>1.5</v>
      </c>
      <c r="I257" s="30">
        <f t="shared" si="14"/>
        <v>0</v>
      </c>
      <c r="J257" s="48" t="s">
        <v>477</v>
      </c>
      <c r="K257" s="28"/>
    </row>
    <row r="258" spans="1:11" ht="13.2" x14ac:dyDescent="0.25">
      <c r="A258" s="33">
        <v>45593</v>
      </c>
      <c r="B258" s="28" t="s">
        <v>55</v>
      </c>
      <c r="C258" s="12" t="s">
        <v>16</v>
      </c>
      <c r="D258" s="28" t="s">
        <v>462</v>
      </c>
      <c r="E258" s="13" t="s">
        <v>67</v>
      </c>
      <c r="F258" s="13" t="s">
        <v>63</v>
      </c>
      <c r="G258" s="30">
        <v>1</v>
      </c>
      <c r="H258" s="30">
        <v>1</v>
      </c>
      <c r="I258" s="30">
        <f t="shared" si="14"/>
        <v>0</v>
      </c>
      <c r="J258" s="48" t="s">
        <v>478</v>
      </c>
      <c r="K258" s="28"/>
    </row>
    <row r="259" spans="1:11" ht="13.2" x14ac:dyDescent="0.25">
      <c r="A259" s="33">
        <v>45593</v>
      </c>
      <c r="B259" s="28" t="s">
        <v>55</v>
      </c>
      <c r="C259" s="12" t="s">
        <v>16</v>
      </c>
      <c r="D259" s="28" t="s">
        <v>463</v>
      </c>
      <c r="E259" s="13" t="s">
        <v>67</v>
      </c>
      <c r="F259" s="13" t="s">
        <v>63</v>
      </c>
      <c r="G259" s="30">
        <v>0.5</v>
      </c>
      <c r="H259" s="30">
        <v>0.5</v>
      </c>
      <c r="I259" s="30">
        <f t="shared" si="14"/>
        <v>0</v>
      </c>
      <c r="J259" s="48" t="s">
        <v>479</v>
      </c>
      <c r="K259" s="28"/>
    </row>
    <row r="260" spans="1:11" ht="13.2" x14ac:dyDescent="0.25">
      <c r="A260" s="33">
        <v>45593</v>
      </c>
      <c r="B260" s="28" t="s">
        <v>55</v>
      </c>
      <c r="C260" s="12" t="s">
        <v>16</v>
      </c>
      <c r="D260" s="28" t="s">
        <v>464</v>
      </c>
      <c r="E260" s="13" t="s">
        <v>67</v>
      </c>
      <c r="F260" s="13" t="s">
        <v>63</v>
      </c>
      <c r="G260" s="30">
        <v>0.75</v>
      </c>
      <c r="H260" s="30">
        <v>0.75</v>
      </c>
      <c r="I260" s="30">
        <f t="shared" si="14"/>
        <v>0</v>
      </c>
      <c r="J260" s="48" t="s">
        <v>480</v>
      </c>
      <c r="K260" s="28"/>
    </row>
    <row r="261" spans="1:11" ht="13.2" x14ac:dyDescent="0.25">
      <c r="A261" s="33">
        <v>45593</v>
      </c>
      <c r="B261" s="28" t="s">
        <v>55</v>
      </c>
      <c r="C261" s="12" t="s">
        <v>16</v>
      </c>
      <c r="D261" s="28" t="s">
        <v>465</v>
      </c>
      <c r="E261" s="13" t="s">
        <v>67</v>
      </c>
      <c r="F261" s="13" t="s">
        <v>63</v>
      </c>
      <c r="G261" s="30">
        <v>0.5</v>
      </c>
      <c r="H261" s="30">
        <v>0.5</v>
      </c>
      <c r="I261" s="30">
        <f t="shared" si="14"/>
        <v>0</v>
      </c>
      <c r="J261" s="48" t="s">
        <v>481</v>
      </c>
      <c r="K261" s="28"/>
    </row>
    <row r="262" spans="1:11" ht="13.2" x14ac:dyDescent="0.25">
      <c r="A262" s="33">
        <v>45593</v>
      </c>
      <c r="B262" s="28" t="s">
        <v>55</v>
      </c>
      <c r="C262" s="12" t="s">
        <v>16</v>
      </c>
      <c r="D262" s="28" t="s">
        <v>466</v>
      </c>
      <c r="E262" s="13" t="s">
        <v>67</v>
      </c>
      <c r="F262" s="13" t="s">
        <v>63</v>
      </c>
      <c r="G262" s="30">
        <v>0.5</v>
      </c>
      <c r="H262" s="30">
        <v>0.5</v>
      </c>
      <c r="I262" s="30">
        <f t="shared" si="14"/>
        <v>0</v>
      </c>
      <c r="J262" s="48" t="s">
        <v>482</v>
      </c>
      <c r="K262" s="28"/>
    </row>
    <row r="263" spans="1:11" ht="13.2" x14ac:dyDescent="0.25">
      <c r="A263" s="33">
        <v>45593</v>
      </c>
      <c r="B263" s="28" t="s">
        <v>55</v>
      </c>
      <c r="C263" s="12" t="s">
        <v>16</v>
      </c>
      <c r="D263" s="28" t="s">
        <v>468</v>
      </c>
      <c r="E263" s="13" t="s">
        <v>67</v>
      </c>
      <c r="F263" s="13" t="s">
        <v>63</v>
      </c>
      <c r="G263" s="30">
        <v>0.5</v>
      </c>
      <c r="H263" s="30">
        <v>0.5</v>
      </c>
      <c r="I263" s="30">
        <f t="shared" si="14"/>
        <v>0</v>
      </c>
      <c r="J263" s="48" t="s">
        <v>483</v>
      </c>
      <c r="K263" s="28"/>
    </row>
    <row r="264" spans="1:11" ht="13.2" x14ac:dyDescent="0.25">
      <c r="A264" s="33">
        <v>45593</v>
      </c>
      <c r="B264" s="28" t="s">
        <v>55</v>
      </c>
      <c r="C264" s="12" t="s">
        <v>16</v>
      </c>
      <c r="D264" s="28" t="s">
        <v>469</v>
      </c>
      <c r="E264" s="13" t="s">
        <v>59</v>
      </c>
      <c r="F264" s="13" t="s">
        <v>63</v>
      </c>
      <c r="G264" s="30">
        <v>1</v>
      </c>
      <c r="H264" s="30">
        <v>1</v>
      </c>
      <c r="I264" s="30">
        <f t="shared" si="14"/>
        <v>0</v>
      </c>
      <c r="J264" s="48" t="s">
        <v>484</v>
      </c>
      <c r="K264" s="28"/>
    </row>
    <row r="265" spans="1:11" ht="13.2" x14ac:dyDescent="0.25">
      <c r="A265" s="33">
        <v>45593</v>
      </c>
      <c r="B265" s="28" t="s">
        <v>55</v>
      </c>
      <c r="C265" s="12" t="s">
        <v>16</v>
      </c>
      <c r="D265" s="28" t="s">
        <v>470</v>
      </c>
      <c r="E265" s="13" t="s">
        <v>67</v>
      </c>
      <c r="F265" s="13" t="s">
        <v>63</v>
      </c>
      <c r="G265" s="30">
        <v>0.33</v>
      </c>
      <c r="H265" s="30">
        <v>0.33</v>
      </c>
      <c r="I265" s="30">
        <f t="shared" si="14"/>
        <v>0</v>
      </c>
      <c r="J265" s="48" t="s">
        <v>485</v>
      </c>
      <c r="K265" s="28"/>
    </row>
    <row r="266" spans="1:11" ht="13.2" x14ac:dyDescent="0.25">
      <c r="A266" s="33">
        <v>45593</v>
      </c>
      <c r="B266" s="28" t="s">
        <v>55</v>
      </c>
      <c r="C266" s="12" t="s">
        <v>16</v>
      </c>
      <c r="D266" s="28" t="s">
        <v>459</v>
      </c>
      <c r="E266" s="13" t="s">
        <v>67</v>
      </c>
      <c r="F266" s="13" t="s">
        <v>63</v>
      </c>
      <c r="G266" s="30">
        <v>1</v>
      </c>
      <c r="H266" s="30">
        <v>1</v>
      </c>
      <c r="I266" s="30">
        <f t="shared" si="14"/>
        <v>0</v>
      </c>
      <c r="J266" s="29"/>
      <c r="K266" s="28"/>
    </row>
    <row r="267" spans="1:11" ht="13.2" x14ac:dyDescent="0.25">
      <c r="A267" s="33">
        <v>45593</v>
      </c>
      <c r="B267" s="28" t="s">
        <v>55</v>
      </c>
      <c r="C267" s="12" t="s">
        <v>16</v>
      </c>
      <c r="D267" s="28" t="s">
        <v>472</v>
      </c>
      <c r="E267" s="13" t="s">
        <v>62</v>
      </c>
      <c r="F267" s="13" t="s">
        <v>60</v>
      </c>
      <c r="G267" s="30">
        <v>0.25</v>
      </c>
      <c r="H267" s="30">
        <v>0.25</v>
      </c>
      <c r="I267" s="30">
        <f t="shared" si="14"/>
        <v>0</v>
      </c>
      <c r="J267" s="48" t="s">
        <v>486</v>
      </c>
      <c r="K267" s="28"/>
    </row>
    <row r="268" spans="1:11" ht="13.2" x14ac:dyDescent="0.25">
      <c r="A268" s="33">
        <v>45593</v>
      </c>
      <c r="B268" s="28" t="s">
        <v>55</v>
      </c>
      <c r="C268" s="12" t="s">
        <v>16</v>
      </c>
      <c r="D268" s="28" t="s">
        <v>473</v>
      </c>
      <c r="E268" s="13" t="s">
        <v>64</v>
      </c>
      <c r="F268" s="13" t="s">
        <v>54</v>
      </c>
      <c r="G268" s="30">
        <v>0.5</v>
      </c>
      <c r="H268" s="30">
        <v>0.5</v>
      </c>
      <c r="I268" s="30">
        <f t="shared" si="14"/>
        <v>0</v>
      </c>
      <c r="J268" s="48" t="s">
        <v>487</v>
      </c>
      <c r="K268" s="28"/>
    </row>
    <row r="269" spans="1:11" ht="13.2" x14ac:dyDescent="0.25">
      <c r="A269" s="33">
        <v>45594</v>
      </c>
      <c r="B269" s="28" t="s">
        <v>55</v>
      </c>
      <c r="C269" s="12" t="s">
        <v>16</v>
      </c>
      <c r="D269" s="28" t="s">
        <v>488</v>
      </c>
      <c r="E269" s="13" t="s">
        <v>47</v>
      </c>
      <c r="F269" s="13" t="s">
        <v>54</v>
      </c>
      <c r="G269" s="30">
        <v>0.25</v>
      </c>
      <c r="H269" s="30">
        <v>0.25</v>
      </c>
      <c r="I269" s="30">
        <f t="shared" si="14"/>
        <v>0</v>
      </c>
      <c r="J269" s="48"/>
      <c r="K269" s="28"/>
    </row>
    <row r="270" spans="1:11" ht="13.2" x14ac:dyDescent="0.25">
      <c r="A270" s="33">
        <v>45594</v>
      </c>
      <c r="B270" s="28" t="s">
        <v>55</v>
      </c>
      <c r="C270" s="12" t="s">
        <v>16</v>
      </c>
      <c r="D270" s="28" t="s">
        <v>460</v>
      </c>
      <c r="E270" s="13" t="s">
        <v>45</v>
      </c>
      <c r="F270" s="13" t="s">
        <v>60</v>
      </c>
      <c r="G270" s="30">
        <v>1</v>
      </c>
      <c r="H270" s="30">
        <v>3</v>
      </c>
      <c r="I270" s="30">
        <f t="shared" si="14"/>
        <v>2</v>
      </c>
      <c r="J270" s="48" t="s">
        <v>511</v>
      </c>
      <c r="K270" s="28" t="s">
        <v>500</v>
      </c>
    </row>
    <row r="271" spans="1:11" ht="13.2" x14ac:dyDescent="0.25">
      <c r="A271" s="33">
        <v>45594</v>
      </c>
      <c r="B271" s="28" t="s">
        <v>55</v>
      </c>
      <c r="C271" s="12" t="s">
        <v>16</v>
      </c>
      <c r="D271" s="28" t="s">
        <v>490</v>
      </c>
      <c r="E271" s="13" t="s">
        <v>47</v>
      </c>
      <c r="F271" s="13" t="s">
        <v>60</v>
      </c>
      <c r="G271" s="30">
        <v>2</v>
      </c>
      <c r="H271" s="30">
        <v>2</v>
      </c>
      <c r="I271" s="30">
        <f t="shared" si="14"/>
        <v>0</v>
      </c>
      <c r="J271" s="29"/>
      <c r="K271" s="28"/>
    </row>
    <row r="272" spans="1:11" ht="13.2" x14ac:dyDescent="0.25">
      <c r="A272" s="33">
        <v>45594</v>
      </c>
      <c r="B272" s="28" t="s">
        <v>55</v>
      </c>
      <c r="C272" s="12" t="s">
        <v>16</v>
      </c>
      <c r="D272" s="28" t="s">
        <v>491</v>
      </c>
      <c r="E272" s="13" t="s">
        <v>47</v>
      </c>
      <c r="F272" s="13" t="s">
        <v>60</v>
      </c>
      <c r="G272" s="30">
        <v>0.25</v>
      </c>
      <c r="H272" s="30">
        <v>0.25</v>
      </c>
      <c r="I272" s="30">
        <f t="shared" si="14"/>
        <v>0</v>
      </c>
      <c r="J272" s="29"/>
      <c r="K272" s="28"/>
    </row>
    <row r="273" spans="1:11" ht="13.2" x14ac:dyDescent="0.25">
      <c r="A273" s="33">
        <v>45594</v>
      </c>
      <c r="B273" s="28" t="s">
        <v>55</v>
      </c>
      <c r="C273" s="12" t="s">
        <v>16</v>
      </c>
      <c r="D273" s="28" t="s">
        <v>492</v>
      </c>
      <c r="E273" s="13" t="s">
        <v>67</v>
      </c>
      <c r="F273" s="13" t="s">
        <v>54</v>
      </c>
      <c r="G273" s="30">
        <v>0.1</v>
      </c>
      <c r="H273" s="30">
        <v>0.1</v>
      </c>
      <c r="I273" s="30">
        <f t="shared" si="14"/>
        <v>0</v>
      </c>
      <c r="J273" s="48" t="s">
        <v>509</v>
      </c>
      <c r="K273" s="28"/>
    </row>
    <row r="274" spans="1:11" ht="13.2" x14ac:dyDescent="0.25">
      <c r="A274" s="33">
        <v>45594</v>
      </c>
      <c r="B274" s="28" t="s">
        <v>55</v>
      </c>
      <c r="C274" s="12" t="s">
        <v>16</v>
      </c>
      <c r="D274" s="28" t="s">
        <v>493</v>
      </c>
      <c r="E274" s="13" t="s">
        <v>45</v>
      </c>
      <c r="F274" s="13" t="s">
        <v>60</v>
      </c>
      <c r="G274" s="30">
        <v>1</v>
      </c>
      <c r="H274" s="30">
        <v>1</v>
      </c>
      <c r="I274" s="30">
        <f t="shared" si="14"/>
        <v>0</v>
      </c>
      <c r="J274" s="48" t="s">
        <v>510</v>
      </c>
      <c r="K274" s="28"/>
    </row>
    <row r="275" spans="1:11" ht="13.2" x14ac:dyDescent="0.25">
      <c r="A275" s="33">
        <v>45594</v>
      </c>
      <c r="B275" s="28" t="s">
        <v>55</v>
      </c>
      <c r="C275" s="12" t="s">
        <v>16</v>
      </c>
      <c r="D275" s="28" t="s">
        <v>494</v>
      </c>
      <c r="E275" s="13" t="s">
        <v>47</v>
      </c>
      <c r="F275" s="13" t="s">
        <v>60</v>
      </c>
      <c r="G275" s="30">
        <v>2</v>
      </c>
      <c r="H275" s="30">
        <v>2</v>
      </c>
      <c r="I275" s="30">
        <f t="shared" si="14"/>
        <v>0</v>
      </c>
      <c r="J275" s="29"/>
      <c r="K275" s="28"/>
    </row>
    <row r="276" spans="1:11" ht="13.2" x14ac:dyDescent="0.25">
      <c r="A276" s="33">
        <v>45594</v>
      </c>
      <c r="B276" s="28" t="s">
        <v>46</v>
      </c>
      <c r="C276" s="12" t="s">
        <v>16</v>
      </c>
      <c r="D276" s="28" t="s">
        <v>504</v>
      </c>
      <c r="E276" s="13" t="s">
        <v>47</v>
      </c>
      <c r="F276" s="13" t="s">
        <v>51</v>
      </c>
      <c r="G276" s="30">
        <v>0</v>
      </c>
      <c r="H276" s="30">
        <v>0.5</v>
      </c>
      <c r="I276" s="30">
        <f t="shared" si="14"/>
        <v>0.5</v>
      </c>
      <c r="J276" s="48" t="s">
        <v>506</v>
      </c>
      <c r="K276" s="28" t="s">
        <v>505</v>
      </c>
    </row>
    <row r="277" spans="1:11" ht="13.2" x14ac:dyDescent="0.25">
      <c r="A277" s="33">
        <v>45594</v>
      </c>
      <c r="B277" s="28" t="s">
        <v>46</v>
      </c>
      <c r="C277" s="12" t="s">
        <v>16</v>
      </c>
      <c r="D277" s="28" t="s">
        <v>495</v>
      </c>
      <c r="E277" s="13" t="s">
        <v>59</v>
      </c>
      <c r="F277" s="13" t="s">
        <v>51</v>
      </c>
      <c r="G277" s="30">
        <v>0</v>
      </c>
      <c r="H277" s="30">
        <v>0.5</v>
      </c>
      <c r="I277" s="30">
        <f t="shared" si="14"/>
        <v>0.5</v>
      </c>
      <c r="J277" s="48" t="s">
        <v>508</v>
      </c>
      <c r="K277" s="28" t="s">
        <v>502</v>
      </c>
    </row>
    <row r="278" spans="1:11" ht="13.2" x14ac:dyDescent="0.25">
      <c r="A278" s="33">
        <v>45594</v>
      </c>
      <c r="B278" s="28" t="s">
        <v>46</v>
      </c>
      <c r="C278" s="12" t="s">
        <v>16</v>
      </c>
      <c r="D278" s="28" t="s">
        <v>496</v>
      </c>
      <c r="E278" s="13" t="s">
        <v>53</v>
      </c>
      <c r="F278" s="13" t="s">
        <v>54</v>
      </c>
      <c r="G278" s="30">
        <v>0</v>
      </c>
      <c r="H278" s="30">
        <v>0.5</v>
      </c>
      <c r="I278" s="30">
        <f t="shared" si="14"/>
        <v>0.5</v>
      </c>
      <c r="J278" s="48" t="s">
        <v>507</v>
      </c>
      <c r="K278" s="28" t="s">
        <v>503</v>
      </c>
    </row>
    <row r="279" spans="1:11" ht="13.2" x14ac:dyDescent="0.25">
      <c r="A279" s="33">
        <v>45596</v>
      </c>
      <c r="B279" s="28" t="s">
        <v>55</v>
      </c>
      <c r="C279" s="12" t="s">
        <v>16</v>
      </c>
      <c r="D279" s="28" t="s">
        <v>498</v>
      </c>
      <c r="E279" s="13" t="s">
        <v>45</v>
      </c>
      <c r="F279" s="13" t="s">
        <v>54</v>
      </c>
      <c r="G279" s="30">
        <v>0.5</v>
      </c>
      <c r="H279" s="30">
        <v>0.5</v>
      </c>
      <c r="I279" s="30">
        <f t="shared" si="14"/>
        <v>0</v>
      </c>
      <c r="J279" s="48" t="s">
        <v>513</v>
      </c>
      <c r="K279" s="28"/>
    </row>
    <row r="280" spans="1:11" ht="13.2" x14ac:dyDescent="0.25">
      <c r="A280" s="33">
        <v>45596</v>
      </c>
      <c r="B280" s="28" t="s">
        <v>55</v>
      </c>
      <c r="C280" s="12" t="s">
        <v>16</v>
      </c>
      <c r="D280" s="28" t="s">
        <v>499</v>
      </c>
      <c r="E280" s="13" t="s">
        <v>64</v>
      </c>
      <c r="F280" s="13" t="s">
        <v>54</v>
      </c>
      <c r="G280" s="30">
        <v>3</v>
      </c>
      <c r="H280" s="30">
        <v>3</v>
      </c>
      <c r="I280" s="30">
        <f t="shared" si="14"/>
        <v>0</v>
      </c>
      <c r="J280" s="48" t="s">
        <v>512</v>
      </c>
      <c r="K280" s="28"/>
    </row>
    <row r="281" spans="1:11" ht="13.2" x14ac:dyDescent="0.25">
      <c r="A281" s="33">
        <v>45596</v>
      </c>
      <c r="B281" s="28" t="s">
        <v>55</v>
      </c>
      <c r="C281" s="12" t="s">
        <v>16</v>
      </c>
      <c r="D281" s="28" t="s">
        <v>501</v>
      </c>
      <c r="E281" s="13" t="s">
        <v>64</v>
      </c>
      <c r="F281" s="13" t="s">
        <v>51</v>
      </c>
      <c r="G281" s="30">
        <v>0.5</v>
      </c>
      <c r="H281" s="30">
        <v>0.5</v>
      </c>
      <c r="I281" s="30">
        <f t="shared" si="14"/>
        <v>0</v>
      </c>
      <c r="J281" s="48" t="s">
        <v>514</v>
      </c>
      <c r="K281" s="28"/>
    </row>
    <row r="282" spans="1:11" ht="13.2" x14ac:dyDescent="0.25">
      <c r="A282" s="33">
        <v>45596</v>
      </c>
      <c r="B282" s="28" t="s">
        <v>55</v>
      </c>
      <c r="C282" s="12" t="s">
        <v>16</v>
      </c>
      <c r="D282" s="28" t="s">
        <v>517</v>
      </c>
      <c r="E282" s="13" t="s">
        <v>45</v>
      </c>
      <c r="F282" s="13" t="s">
        <v>60</v>
      </c>
      <c r="G282" s="30">
        <v>2</v>
      </c>
      <c r="H282" s="30">
        <v>2.25</v>
      </c>
      <c r="I282" s="30">
        <f t="shared" si="14"/>
        <v>0.25</v>
      </c>
      <c r="J282" s="48" t="s">
        <v>527</v>
      </c>
      <c r="K282" s="28" t="s">
        <v>520</v>
      </c>
    </row>
    <row r="283" spans="1:11" ht="13.2" x14ac:dyDescent="0.25">
      <c r="A283" s="33">
        <v>45596</v>
      </c>
      <c r="B283" s="28" t="s">
        <v>55</v>
      </c>
      <c r="C283" s="12" t="s">
        <v>16</v>
      </c>
      <c r="D283" s="28" t="s">
        <v>518</v>
      </c>
      <c r="E283" s="13" t="s">
        <v>53</v>
      </c>
      <c r="F283" s="13" t="s">
        <v>63</v>
      </c>
      <c r="G283" s="30">
        <v>2</v>
      </c>
      <c r="H283" s="30">
        <v>2</v>
      </c>
      <c r="I283" s="30">
        <f t="shared" si="14"/>
        <v>0</v>
      </c>
      <c r="J283" s="48" t="s">
        <v>528</v>
      </c>
      <c r="K283" s="28"/>
    </row>
    <row r="284" spans="1:11" ht="13.2" x14ac:dyDescent="0.25">
      <c r="A284" s="33">
        <v>45596</v>
      </c>
      <c r="B284" s="28" t="s">
        <v>61</v>
      </c>
      <c r="C284" s="12" t="s">
        <v>16</v>
      </c>
      <c r="D284" s="28" t="s">
        <v>471</v>
      </c>
      <c r="E284" s="13" t="s">
        <v>59</v>
      </c>
      <c r="F284" s="13" t="s">
        <v>63</v>
      </c>
      <c r="G284" s="30">
        <v>3</v>
      </c>
      <c r="H284" s="30">
        <v>0</v>
      </c>
      <c r="I284" s="30">
        <f t="shared" si="14"/>
        <v>-3</v>
      </c>
      <c r="J284" s="29"/>
      <c r="K284" s="28" t="s">
        <v>519</v>
      </c>
    </row>
    <row r="285" spans="1:11" ht="13.2" x14ac:dyDescent="0.25">
      <c r="A285" s="33">
        <v>45596</v>
      </c>
      <c r="B285" s="28" t="s">
        <v>61</v>
      </c>
      <c r="C285" s="12" t="s">
        <v>16</v>
      </c>
      <c r="D285" s="28" t="s">
        <v>457</v>
      </c>
      <c r="E285" s="13" t="s">
        <v>59</v>
      </c>
      <c r="F285" s="13" t="s">
        <v>60</v>
      </c>
      <c r="G285" s="30">
        <v>2</v>
      </c>
      <c r="H285" s="30">
        <v>0</v>
      </c>
      <c r="I285" s="30">
        <f>H285-G285</f>
        <v>-2</v>
      </c>
      <c r="J285" s="29"/>
      <c r="K285" s="28" t="s">
        <v>519</v>
      </c>
    </row>
    <row r="286" spans="1:11" ht="13.2" x14ac:dyDescent="0.25">
      <c r="A286" s="33">
        <v>45597</v>
      </c>
      <c r="B286" s="28" t="s">
        <v>55</v>
      </c>
      <c r="C286" s="12" t="s">
        <v>16</v>
      </c>
      <c r="D286" s="28" t="s">
        <v>521</v>
      </c>
      <c r="E286" s="13" t="s">
        <v>45</v>
      </c>
      <c r="F286" s="13" t="s">
        <v>60</v>
      </c>
      <c r="G286" s="30">
        <v>0.5</v>
      </c>
      <c r="H286" s="30">
        <v>0.5</v>
      </c>
      <c r="I286" s="30">
        <f t="shared" si="14"/>
        <v>0</v>
      </c>
      <c r="J286" s="48" t="s">
        <v>526</v>
      </c>
      <c r="K286" s="28"/>
    </row>
    <row r="287" spans="1:11" ht="13.2" x14ac:dyDescent="0.25">
      <c r="A287" s="33">
        <v>45597</v>
      </c>
      <c r="B287" s="28" t="s">
        <v>55</v>
      </c>
      <c r="C287" s="12" t="s">
        <v>16</v>
      </c>
      <c r="D287" s="28" t="s">
        <v>524</v>
      </c>
      <c r="E287" s="13" t="s">
        <v>47</v>
      </c>
      <c r="F287" s="13" t="s">
        <v>54</v>
      </c>
      <c r="G287" s="30">
        <v>0.25</v>
      </c>
      <c r="H287" s="30">
        <v>0.25</v>
      </c>
      <c r="I287" s="30">
        <f t="shared" si="14"/>
        <v>0</v>
      </c>
      <c r="J287" s="29"/>
      <c r="K287" s="28"/>
    </row>
    <row r="288" spans="1:11" ht="13.2" x14ac:dyDescent="0.25">
      <c r="A288" s="33">
        <v>45597</v>
      </c>
      <c r="B288" s="28" t="s">
        <v>52</v>
      </c>
      <c r="C288" s="12" t="s">
        <v>16</v>
      </c>
      <c r="D288" s="28" t="s">
        <v>523</v>
      </c>
      <c r="E288" s="13" t="s">
        <v>47</v>
      </c>
      <c r="F288" s="13" t="s">
        <v>63</v>
      </c>
      <c r="G288" s="30">
        <v>4</v>
      </c>
      <c r="H288" s="30">
        <v>3.5</v>
      </c>
      <c r="I288" s="30">
        <f t="shared" si="14"/>
        <v>-0.5</v>
      </c>
      <c r="J288" s="29"/>
      <c r="K288" s="28" t="s">
        <v>532</v>
      </c>
    </row>
    <row r="289" spans="1:11" ht="13.2" x14ac:dyDescent="0.25">
      <c r="A289" s="33">
        <v>45597</v>
      </c>
      <c r="B289" s="28" t="s">
        <v>55</v>
      </c>
      <c r="C289" s="12" t="s">
        <v>16</v>
      </c>
      <c r="D289" s="28" t="s">
        <v>522</v>
      </c>
      <c r="E289" s="13" t="s">
        <v>47</v>
      </c>
      <c r="F289" s="13" t="s">
        <v>63</v>
      </c>
      <c r="G289" s="30">
        <v>0.15</v>
      </c>
      <c r="H289" s="30">
        <v>0.15</v>
      </c>
      <c r="I289" s="30">
        <f t="shared" si="14"/>
        <v>0</v>
      </c>
      <c r="J289" s="48" t="s">
        <v>526</v>
      </c>
      <c r="K289" s="28"/>
    </row>
    <row r="290" spans="1:11" ht="13.2" x14ac:dyDescent="0.25">
      <c r="A290" s="33">
        <v>45597</v>
      </c>
      <c r="B290" s="28" t="s">
        <v>46</v>
      </c>
      <c r="C290" s="12" t="s">
        <v>16</v>
      </c>
      <c r="D290" s="28" t="s">
        <v>533</v>
      </c>
      <c r="E290" s="13" t="s">
        <v>47</v>
      </c>
      <c r="F290" s="13" t="s">
        <v>51</v>
      </c>
      <c r="G290" s="30">
        <v>0</v>
      </c>
      <c r="H290" s="30">
        <v>0.15</v>
      </c>
      <c r="I290" s="30">
        <f t="shared" si="14"/>
        <v>0.15</v>
      </c>
      <c r="J290" s="48" t="s">
        <v>529</v>
      </c>
      <c r="K290" s="28" t="s">
        <v>534</v>
      </c>
    </row>
    <row r="291" spans="1:11" ht="13.2" x14ac:dyDescent="0.25">
      <c r="A291" s="33">
        <v>45597</v>
      </c>
      <c r="B291" s="28" t="s">
        <v>55</v>
      </c>
      <c r="C291" s="12" t="s">
        <v>16</v>
      </c>
      <c r="D291" s="28" t="s">
        <v>530</v>
      </c>
      <c r="E291" s="13" t="s">
        <v>64</v>
      </c>
      <c r="F291" s="13" t="s">
        <v>54</v>
      </c>
      <c r="G291" s="30">
        <v>0.5</v>
      </c>
      <c r="H291" s="30">
        <v>0.5</v>
      </c>
      <c r="I291" s="30">
        <f t="shared" si="14"/>
        <v>0</v>
      </c>
      <c r="J291" s="48" t="s">
        <v>535</v>
      </c>
      <c r="K291" s="28"/>
    </row>
    <row r="292" spans="1:11" ht="13.2" x14ac:dyDescent="0.25">
      <c r="A292" s="33">
        <v>45597</v>
      </c>
      <c r="B292" s="28" t="s">
        <v>55</v>
      </c>
      <c r="C292" s="12" t="s">
        <v>16</v>
      </c>
      <c r="D292" s="28" t="s">
        <v>515</v>
      </c>
      <c r="E292" s="13" t="s">
        <v>64</v>
      </c>
      <c r="F292" s="13" t="s">
        <v>54</v>
      </c>
      <c r="G292" s="30">
        <v>1</v>
      </c>
      <c r="H292" s="30">
        <v>1</v>
      </c>
      <c r="I292" s="30">
        <f t="shared" si="14"/>
        <v>0</v>
      </c>
      <c r="J292" s="48" t="s">
        <v>531</v>
      </c>
      <c r="K292" s="28"/>
    </row>
    <row r="293" spans="1:11" ht="13.2" x14ac:dyDescent="0.25">
      <c r="A293" s="33">
        <v>45597</v>
      </c>
      <c r="B293" s="28" t="s">
        <v>55</v>
      </c>
      <c r="C293" s="12" t="s">
        <v>16</v>
      </c>
      <c r="D293" s="28" t="s">
        <v>516</v>
      </c>
      <c r="E293" s="13" t="s">
        <v>64</v>
      </c>
      <c r="F293" s="13" t="s">
        <v>54</v>
      </c>
      <c r="G293" s="30">
        <v>1</v>
      </c>
      <c r="H293" s="30">
        <v>1</v>
      </c>
      <c r="I293" s="30">
        <f t="shared" si="14"/>
        <v>0</v>
      </c>
      <c r="J293" s="48" t="s">
        <v>536</v>
      </c>
      <c r="K293" s="28"/>
    </row>
    <row r="294" spans="1:11" ht="13.2" x14ac:dyDescent="0.25">
      <c r="A294" s="33">
        <v>45597</v>
      </c>
      <c r="B294" s="28" t="s">
        <v>46</v>
      </c>
      <c r="C294" s="12" t="s">
        <v>16</v>
      </c>
      <c r="D294" s="28" t="s">
        <v>538</v>
      </c>
      <c r="E294" s="13" t="s">
        <v>64</v>
      </c>
      <c r="F294" s="13" t="s">
        <v>54</v>
      </c>
      <c r="G294" s="30">
        <v>0.25</v>
      </c>
      <c r="H294" s="30">
        <v>0.25</v>
      </c>
      <c r="I294" s="30">
        <f t="shared" si="14"/>
        <v>0</v>
      </c>
      <c r="J294" s="48" t="s">
        <v>539</v>
      </c>
      <c r="K294" s="28"/>
    </row>
    <row r="295" spans="1:11" ht="13.2" x14ac:dyDescent="0.25">
      <c r="A295" s="33">
        <v>45597</v>
      </c>
      <c r="B295" s="28" t="s">
        <v>55</v>
      </c>
      <c r="C295" s="12" t="s">
        <v>16</v>
      </c>
      <c r="D295" s="28" t="s">
        <v>525</v>
      </c>
      <c r="E295" s="13" t="s">
        <v>64</v>
      </c>
      <c r="F295" s="13" t="s">
        <v>54</v>
      </c>
      <c r="G295" s="30">
        <v>0.1</v>
      </c>
      <c r="H295" s="30">
        <v>0.1</v>
      </c>
      <c r="I295" s="30">
        <f t="shared" si="14"/>
        <v>0</v>
      </c>
      <c r="J295" s="29"/>
      <c r="K295" s="28"/>
    </row>
    <row r="296" spans="1:11" ht="13.2" x14ac:dyDescent="0.25">
      <c r="A296" s="19"/>
      <c r="B296" s="21"/>
      <c r="C296" s="21"/>
      <c r="D296" s="21"/>
      <c r="E296" s="21" t="s">
        <v>18</v>
      </c>
      <c r="F296" s="21"/>
      <c r="G296" s="24">
        <f>SUM(G254:G295)</f>
        <v>39.68</v>
      </c>
      <c r="H296" s="24">
        <f>SUM(H254:H295)</f>
        <v>39.08</v>
      </c>
      <c r="I296" s="24">
        <f t="shared" si="14"/>
        <v>-0.60000000000000142</v>
      </c>
      <c r="J296" s="25"/>
      <c r="K296" s="21"/>
    </row>
    <row r="297" spans="1:11" ht="13.2" x14ac:dyDescent="0.25">
      <c r="G297" s="44"/>
      <c r="H297" s="44"/>
      <c r="I297" s="30"/>
    </row>
    <row r="298" spans="1:11" ht="13.2" x14ac:dyDescent="0.25">
      <c r="E298" s="45" t="s">
        <v>27</v>
      </c>
      <c r="F298" s="45"/>
      <c r="G298" s="46">
        <f>G25+G57+G90+G152+G194+G229+G250+G296</f>
        <v>297.56</v>
      </c>
      <c r="H298" s="46">
        <f>H25+H57+H90+H152+H194+H229+H250+H296</f>
        <v>260.01</v>
      </c>
      <c r="I298" s="46">
        <f>H298-G298</f>
        <v>-37.550000000000011</v>
      </c>
    </row>
  </sheetData>
  <autoFilter ref="A1:K25" xr:uid="{00000000-0009-0000-0000-000000000000}"/>
  <customSheetViews>
    <customSheetView guid="{8BAC9A6B-5D32-4E8D-967D-E17D357516F8}" filter="1" showAutoFilter="1">
      <pageMargins left="0" right="0" top="0" bottom="0" header="0" footer="0"/>
      <autoFilter ref="A1:K15" xr:uid="{3AC42FF9-15F2-49A9-BBAD-BF6FFBF4539A}">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B252:K252"/>
    <mergeCell ref="B253:K253"/>
    <mergeCell ref="B155:K155"/>
    <mergeCell ref="A195:K195"/>
    <mergeCell ref="B196:K196"/>
    <mergeCell ref="B197:K197"/>
    <mergeCell ref="A230:K230"/>
    <mergeCell ref="B231:K231"/>
    <mergeCell ref="B232:K232"/>
    <mergeCell ref="B92:K92"/>
    <mergeCell ref="B93:K93"/>
    <mergeCell ref="A153:K153"/>
    <mergeCell ref="B154:K154"/>
    <mergeCell ref="A251:K251"/>
    <mergeCell ref="B28:K28"/>
    <mergeCell ref="A58:K58"/>
    <mergeCell ref="B59:K59"/>
    <mergeCell ref="B60:K60"/>
    <mergeCell ref="A91:K91"/>
    <mergeCell ref="A2:K2"/>
    <mergeCell ref="B3:K3"/>
    <mergeCell ref="B4:K4"/>
    <mergeCell ref="A26:K26"/>
    <mergeCell ref="B27:K27"/>
  </mergeCells>
  <conditionalFormatting sqref="B5:B24 B27:B56 B61:B89 B94:B151 B156:B193 B198:B228 B233:B249 B254:B295">
    <cfRule type="containsText" dxfId="10" priority="1" operator="containsText" text="Unplanned">
      <formula>NOT(ISERROR(SEARCH(("Unplanned"),(B5))))</formula>
    </cfRule>
    <cfRule type="containsText" dxfId="9" priority="2" operator="containsText" text="Planned">
      <formula>NOT(ISERROR(SEARCH(("Planned"),(B5))))</formula>
    </cfRule>
    <cfRule type="containsText" dxfId="8" priority="3" operator="containsText" text="In-Progress">
      <formula>NOT(ISERROR(SEARCH(("In-Progress"),(B5))))</formula>
    </cfRule>
    <cfRule type="containsText" dxfId="7" priority="4" operator="containsText" text="Blocked">
      <formula>NOT(ISERROR(SEARCH(("Blocked"),(B5))))</formula>
    </cfRule>
    <cfRule type="containsText" dxfId="6" priority="5" operator="containsText" text="Done">
      <formula>NOT(ISERROR(SEARCH(("Done"),(B5))))</formula>
    </cfRule>
  </conditionalFormatting>
  <conditionalFormatting sqref="B5:B25 B27:B57 B59:B90 B92:B152 B154:B194 B196:B229 B231:B250 B252:B295">
    <cfRule type="containsText" dxfId="5" priority="6" operator="containsText" text="Unplanned">
      <formula>NOT(ISERROR(SEARCH(("Unplanned"),(B5))))</formula>
    </cfRule>
    <cfRule type="containsText" dxfId="4" priority="7" operator="containsText" text="Cancelled">
      <formula>NOT(ISERROR(SEARCH(("Cancelled"),(B5))))</formula>
    </cfRule>
  </conditionalFormatting>
  <conditionalFormatting sqref="G1 G3:G25 G29:G57 G61:G90 G94:G152 G156:G194 G198:G229 G233:G250 G254:G298">
    <cfRule type="cellIs" dxfId="3" priority="10" operator="greaterThan">
      <formula>4</formula>
    </cfRule>
  </conditionalFormatting>
  <conditionalFormatting sqref="H1:H298">
    <cfRule type="containsBlanks" dxfId="2" priority="11">
      <formula>LEN(TRIM(H1))=0</formula>
    </cfRule>
  </conditionalFormatting>
  <conditionalFormatting sqref="I5:I25 I29:I57 I61:I90 I94:I152 I156:I194 I198:I229 I233:I250 I254:I298">
    <cfRule type="expression" dxfId="1" priority="8">
      <formula>H5/G5&gt;=1.5</formula>
    </cfRule>
    <cfRule type="expression" dxfId="0" priority="9">
      <formula>H5/G5&lt;=0.5</formula>
    </cfRule>
  </conditionalFormatting>
  <hyperlinks>
    <hyperlink ref="J38" r:id="rId1" xr:uid="{8D0BB850-BD92-4430-A284-0F1E75E28A81}"/>
    <hyperlink ref="J29" r:id="rId2" xr:uid="{1CDD7272-D940-4EA9-A7A2-DC9FBC18456A}"/>
    <hyperlink ref="J37" r:id="rId3" xr:uid="{4C729AAF-ED1B-40E2-B9F2-E07B14FC9ECA}"/>
    <hyperlink ref="J30" r:id="rId4" xr:uid="{D84E2987-FDE7-4DC6-89BF-954C768567B3}"/>
    <hyperlink ref="J34" r:id="rId5" xr:uid="{C92A6D80-50E8-4435-84CF-F7B6831176FA}"/>
    <hyperlink ref="J35" r:id="rId6" xr:uid="{7A65783D-4C47-404A-87AA-91C075FE762A}"/>
    <hyperlink ref="J33" r:id="rId7" xr:uid="{067D6CC3-1B02-4E47-AF5B-8FCC5B262757}"/>
    <hyperlink ref="J42" r:id="rId8" xr:uid="{6F545862-A261-44FB-A9F2-D7F17F41D2CC}"/>
    <hyperlink ref="J43" r:id="rId9" xr:uid="{5B592E88-49F3-436D-8230-E3D874C980CD}"/>
    <hyperlink ref="J41" r:id="rId10" xr:uid="{DEE5BBC0-295D-4369-A53C-DEDA5F93349C}"/>
    <hyperlink ref="J40" r:id="rId11" xr:uid="{7BA2A5BA-1DCD-4AF9-9F52-5A750C32865D}"/>
    <hyperlink ref="J52" r:id="rId12" xr:uid="{9D493878-95C9-4037-8776-8C7288E5221F}"/>
    <hyperlink ref="J55" r:id="rId13" xr:uid="{3F383133-B16D-4E2C-AF36-A6CAC958C4ED}"/>
    <hyperlink ref="J66" r:id="rId14" xr:uid="{ED65F23C-EAB1-4529-8212-9D978000DB17}"/>
    <hyperlink ref="J61" r:id="rId15" xr:uid="{673EF618-D4C8-41B6-BD5B-33AE91CCEBE9}"/>
    <hyperlink ref="J68" r:id="rId16" xr:uid="{4C3BAC1D-9C28-4DB4-8E5C-68F65A25F55B}"/>
    <hyperlink ref="J70" r:id="rId17" xr:uid="{1B94A770-BC06-40E9-8174-DB0A703CFFAF}"/>
    <hyperlink ref="J65" r:id="rId18" xr:uid="{299F1477-5D8E-42E4-A93D-306F8BC5E882}"/>
    <hyperlink ref="J63" r:id="rId19" xr:uid="{EFCABC76-AF8F-4FB1-BE42-340A03E5A39D}"/>
    <hyperlink ref="J75" r:id="rId20" xr:uid="{7368E045-5E9C-4D6E-8871-1AAC73FD5DA6}"/>
    <hyperlink ref="J16" r:id="rId21" xr:uid="{A0F8A9CC-3D69-4283-B57F-C9215DF441E9}"/>
    <hyperlink ref="J17" r:id="rId22" xr:uid="{1C47959D-C667-4C69-BB4B-A39DF9B13BFB}"/>
    <hyperlink ref="J24" r:id="rId23" xr:uid="{07CBA2F5-9F65-4813-AA99-329C31A15846}"/>
    <hyperlink ref="J23" r:id="rId24" xr:uid="{5B6F3563-3ED1-40E4-8D70-F46DF531E4DF}"/>
    <hyperlink ref="J22" r:id="rId25" xr:uid="{8558A28D-398B-4A05-898E-C76E4660E77A}"/>
    <hyperlink ref="J21" r:id="rId26" xr:uid="{915A2948-BA72-4E71-9AD2-FA5C676F0E3D}"/>
    <hyperlink ref="J12" r:id="rId27" xr:uid="{F0CA423C-AD7B-4990-8329-8614C12BA806}"/>
    <hyperlink ref="J6" r:id="rId28" xr:uid="{986E986B-5C32-4B26-B4F6-77FBFB7375C2}"/>
    <hyperlink ref="J7" r:id="rId29" xr:uid="{6867B28C-A98D-44B0-B2DD-098B9B009BB5}"/>
    <hyperlink ref="J10" r:id="rId30" xr:uid="{DD68B7E9-8773-4E8F-A25D-5D3B8B0BD840}"/>
    <hyperlink ref="J15" r:id="rId31" xr:uid="{09972206-AF6D-484A-87CD-5473C3D8EF77}"/>
    <hyperlink ref="J77" r:id="rId32" xr:uid="{00DCE6BC-BC4C-45DA-B774-0530B0429704}"/>
    <hyperlink ref="J78" r:id="rId33" xr:uid="{2DE23BBB-B0C5-4B45-AAE4-16E1FC9A0173}"/>
    <hyperlink ref="J81" r:id="rId34" xr:uid="{17B608CC-ECFD-426E-AF3C-11249BA9FA93}"/>
    <hyperlink ref="J82" r:id="rId35" display="https://github.com/BredaUniversityADSAI/2024-25A-FAI1-ADSAI--MaksBurchard240894/blob/92c1dea6ac32f6000bce3a13319deabec641c40c/Deliverables/Task%201%20(Presentation%20on%20AI%20in%20Science%20Fiction)/AI%20in%20SciFic%20Presentation-Maks-Burchard(240894).mp4" xr:uid="{E6029143-189C-4E4E-A53C-033BC5829C7E}"/>
    <hyperlink ref="J62" r:id="rId36" xr:uid="{BDF112FE-9190-48BB-B68D-E3B7CE55D349}"/>
    <hyperlink ref="J71" r:id="rId37" xr:uid="{D411C318-650D-42BD-8838-D7E7B21D34D8}"/>
    <hyperlink ref="J72" r:id="rId38" xr:uid="{763C2173-6601-4B75-8ABE-603C59851ED2}"/>
    <hyperlink ref="J76" r:id="rId39" xr:uid="{E8EBDDA7-739C-4B01-BA39-033CC8769EA9}"/>
    <hyperlink ref="J84" r:id="rId40" xr:uid="{72BA4968-8DB8-4F21-95C8-47147CA4FD52}"/>
    <hyperlink ref="J95" r:id="rId41" xr:uid="{5948C6FF-C5E4-437C-B772-2DC1B1C145B7}"/>
    <hyperlink ref="J94" r:id="rId42" xr:uid="{D8CFC47E-AD22-48A3-A075-680F0A1F9F3D}"/>
    <hyperlink ref="J99" r:id="rId43" xr:uid="{C4598515-C1B6-4C96-9F01-3ED6A7658E8A}"/>
    <hyperlink ref="J97" r:id="rId44" xr:uid="{5B23632E-2422-4605-B846-698C06F888F3}"/>
    <hyperlink ref="J104" r:id="rId45" xr:uid="{640668B2-4990-4FAC-B50B-E8FEEFF69CA4}"/>
    <hyperlink ref="J105" r:id="rId46" xr:uid="{1E101B63-E314-4173-8AB3-F4EE2983543E}"/>
    <hyperlink ref="J103" r:id="rId47" xr:uid="{E2423707-E0B8-4A27-8123-758530A32F6A}"/>
    <hyperlink ref="J107" r:id="rId48" xr:uid="{A2021569-3E56-46E2-800F-74801DBA86AC}"/>
    <hyperlink ref="J113" r:id="rId49" xr:uid="{DEAB6712-0844-415E-89F9-DC52B7E05677}"/>
    <hyperlink ref="J108" r:id="rId50" xr:uid="{F7814C52-3402-4468-A14C-24A06DE604B3}"/>
    <hyperlink ref="J110" r:id="rId51" xr:uid="{5E56252E-94D2-41A9-A745-C17DDE31458A}"/>
    <hyperlink ref="J109" r:id="rId52" xr:uid="{B3010082-70DE-4063-94C9-5A39052F27CE}"/>
    <hyperlink ref="J117" r:id="rId53" xr:uid="{105E3B41-6555-4326-A788-30DD1608BA38}"/>
    <hyperlink ref="J115" r:id="rId54" xr:uid="{5AF02EC2-E228-4E7D-A250-2F6DBFF9D558}"/>
    <hyperlink ref="J112" r:id="rId55" xr:uid="{E318CB29-433E-4444-BC03-FBC195E8A5E0}"/>
    <hyperlink ref="J118" r:id="rId56" xr:uid="{3741F91A-E2E4-44EA-A69D-D5D2D88C25BA}"/>
    <hyperlink ref="J119" r:id="rId57" xr:uid="{E7977CD9-B4D0-493A-89C4-74970CB2CF4A}"/>
    <hyperlink ref="J121" r:id="rId58" xr:uid="{290092D7-4E05-491B-8899-565B4E6D001D}"/>
    <hyperlink ref="J122" r:id="rId59" xr:uid="{B969D7AA-7DC7-4240-AD92-34C0E8EF1E30}"/>
    <hyperlink ref="J134" r:id="rId60" xr:uid="{58189860-14AD-40B9-9AE2-BB5F5D09AB3F}"/>
    <hyperlink ref="J130" r:id="rId61" xr:uid="{FDF59DF9-C077-4CBF-813E-84C97F9D7DD6}"/>
    <hyperlink ref="J120" r:id="rId62" xr:uid="{B479CBD6-629C-4050-9E56-423952360B02}"/>
    <hyperlink ref="J125" r:id="rId63" xr:uid="{57AB4FF3-BC10-42A7-84D0-F38B5C4826E0}"/>
    <hyperlink ref="J124" r:id="rId64" xr:uid="{BFF265AE-08AB-4C9C-A4E2-4EA92C2C072E}"/>
    <hyperlink ref="J127" r:id="rId65" xr:uid="{0E063516-6F97-4DA7-B094-AAB3802880C1}"/>
    <hyperlink ref="J128" r:id="rId66" xr:uid="{0A38BB78-1329-4255-A47D-46BAD5862D99}"/>
    <hyperlink ref="J129" r:id="rId67" xr:uid="{F3637553-2837-4E13-A9B0-AB7CBEEF58DA}"/>
    <hyperlink ref="J132" r:id="rId68" xr:uid="{1A389D17-C66C-4D8C-8197-3534741424DC}"/>
    <hyperlink ref="J131" r:id="rId69" xr:uid="{13FD13EA-EACF-4555-8255-BEB5F4960147}"/>
    <hyperlink ref="J135" r:id="rId70" xr:uid="{3A92419C-44B8-4E6F-8F1D-F9E40CD4F06C}"/>
    <hyperlink ref="J139" r:id="rId71" xr:uid="{97579A35-C0F6-4946-819B-CEE767FAF0B9}"/>
    <hyperlink ref="J140" r:id="rId72" xr:uid="{C5CAB332-E9DF-485E-8967-62B93EF241C4}"/>
    <hyperlink ref="J138" r:id="rId73" xr:uid="{EDB0F40F-E655-4A8E-B423-82AAEFBECD13}"/>
    <hyperlink ref="J143" r:id="rId74" xr:uid="{EA327A09-4AE8-48C0-9324-47DE63939B3C}"/>
    <hyperlink ref="J145" r:id="rId75" xr:uid="{998138D6-2E1F-41BA-AA0C-DDB2C04B2E7E}"/>
    <hyperlink ref="J151" r:id="rId76" xr:uid="{5A718758-F9D2-4D53-B18A-F94A930B8FC9}"/>
    <hyperlink ref="J146" r:id="rId77" xr:uid="{38C5232D-0764-4D19-84F9-56AFA929E8EE}"/>
    <hyperlink ref="J156" r:id="rId78" xr:uid="{8DB50537-49A7-492D-9CCC-0DB08B4B6616}"/>
    <hyperlink ref="J159" r:id="rId79" display="https://github.com/BredaUniversityADSAI/2024-25A-FAI1-ADSAI--MaksBurchard240894/blob/0e8196f7f7e1375f6186a665aa0a8f0317c8e346/Study%20Content/Data%20Science/Week%205%20Day%201%20(Monday)/DataCamp%20course%20-%20Exploratory%20Data%20Analysis%20in%20Power%20BI.pdf " xr:uid="{EE76390A-6E4B-4DFF-8454-4215EB3149D2}"/>
    <hyperlink ref="J161" r:id="rId80" xr:uid="{D18313D3-5092-4347-82BC-4563EDA04986}"/>
    <hyperlink ref="J165" r:id="rId81" xr:uid="{691A7A7E-523D-46D1-989B-EF648E021768}"/>
    <hyperlink ref="J168" r:id="rId82" xr:uid="{A4E71E46-A7F4-4577-BD90-E72C511DEE7D}"/>
    <hyperlink ref="J169" r:id="rId83" display="https://github.com/BredaUniversityADSAI/2024-25A-FAI1-ADSAI--MaksBurchard240894/blob/0e8196f7f7e1375f6186a665aa0a8f0317c8e346/Study%20Content/Data%20Science/Week%205%20Day%203%20(Wednesday)/Voltooiingscertificaat_Learning%20Data%20Science%20Tell%20Stories%20With%20Data.pdf " xr:uid="{A96134B0-421E-4BDA-884B-E2E0C3A83F25}"/>
    <hyperlink ref="J170" r:id="rId84" xr:uid="{89EBF3FC-9256-434E-9522-D37DE4EBA738}"/>
    <hyperlink ref="J172" r:id="rId85" xr:uid="{E1D30A60-1E24-4662-848E-BA9B7E3E4CB4}"/>
    <hyperlink ref="J180" r:id="rId86" xr:uid="{B8D0FF70-D5D8-400B-AA14-524996CF637C}"/>
    <hyperlink ref="J183" r:id="rId87" xr:uid="{7E1E7E67-DACE-490C-8D17-40DA1F7A4BD7}"/>
    <hyperlink ref="J182" r:id="rId88" display="https://github.com/BredaUniversityADSAI/2024-25A-FAI1-ADSAI--MaksBurchard240894/blob/0e8196f7f7e1375f6186a665aa0a8f0317c8e346/Block%20A/Introduction%20to%20Data%20Science/Power%20BI%20Progression/SDG_Dashboard_5%20(W5%20Friday%20III%20(Findings%20II)).pbix" xr:uid="{945B626F-3705-480D-B58D-3F596EC89FA1}"/>
    <hyperlink ref="J184" r:id="rId89" xr:uid="{7D6394F7-D4FB-412C-83EC-D5EF7601AA3F}"/>
    <hyperlink ref="J202" r:id="rId90" xr:uid="{82813B59-0E5C-4C29-ACF0-C775374BC9F3}"/>
    <hyperlink ref="J203" r:id="rId91" xr:uid="{4E4B2673-E286-4FA8-8D94-C35A941F000D}"/>
    <hyperlink ref="J211" r:id="rId92" xr:uid="{E783A997-B990-4731-9469-549F590AB3E4}"/>
    <hyperlink ref="J210" r:id="rId93" xr:uid="{D8DA5496-501F-4B73-8318-58012DD80982}"/>
    <hyperlink ref="J212" r:id="rId94" xr:uid="{2B339D1F-F96D-42A3-96B4-F0F8055FB4C8}"/>
    <hyperlink ref="J214" r:id="rId95" xr:uid="{12B3B488-16FE-4E56-9A31-6AA37EF6B097}"/>
    <hyperlink ref="J215" r:id="rId96" xr:uid="{35F720E7-DD6F-47CA-AD22-6D5819BA1FAC}"/>
    <hyperlink ref="J223" r:id="rId97" display="https://github.com/BredaUniversityADSAI/2024-25A-FAI1-ADSAI--MaksBurchard240894/blob/a653fcda13ee8024a0e56067acbffbc5f93df637/Study%20Content/Data%20Science/Week%206%20Day%205%20(Friday)/Recommendations%20for%20Future%20Analyses%20%26%20Data-driven%20Decisions.txt" xr:uid="{C42795AA-B7FC-430A-B200-63DD1D13F19B}"/>
    <hyperlink ref="J218" r:id="rId98" xr:uid="{01E173C4-B357-4C69-AD74-7223C7832100}"/>
    <hyperlink ref="J224" r:id="rId99" xr:uid="{60DCD02D-0928-4DE7-B6FE-0CCA775A07BF}"/>
    <hyperlink ref="J226" r:id="rId100" xr:uid="{20F24422-2DF3-4D1D-839E-72D025C24291}"/>
    <hyperlink ref="J221" r:id="rId101" xr:uid="{42EA50EC-F1DD-4972-9E87-9963F6698F91}"/>
    <hyperlink ref="J233" r:id="rId102" xr:uid="{2496E727-CD9A-4BD9-A7E6-FDF1E036E030}"/>
    <hyperlink ref="J234" r:id="rId103" xr:uid="{85D45850-3976-49E4-8727-CB88AA77C65B}"/>
    <hyperlink ref="J235" r:id="rId104" xr:uid="{64255B44-ED1C-47F5-8021-EB2F93DC263D}"/>
    <hyperlink ref="J236" r:id="rId105" display="https://github.com/BredaUniversityADSAI/2024-25A-FAI1-ADSAI--MaksBurchard240894/blob/9b2f2eb9beebbdd1eee69c22ba58e1e5d4ef679a/Study%20Content/Data%20Science/Week%207%20Day%201%20(Monday)/Voltooiingscertificaat_Data%20Science%20Foundations%20Fundamentals%202019%20LinkedIn.pdf" xr:uid="{2B855C5C-F4E2-4AD4-BA86-10C94E9A2178}"/>
    <hyperlink ref="J238" r:id="rId106" xr:uid="{1F8426A8-4479-4D7D-A751-A002C23D0B1A}"/>
    <hyperlink ref="J239" r:id="rId107" xr:uid="{6733FE1C-7CD1-4DFD-A70E-B19DEC0F9CC2}"/>
    <hyperlink ref="J240" r:id="rId108" xr:uid="{81A5684F-A491-4778-A98C-77FC8F284AF9}"/>
    <hyperlink ref="J241" r:id="rId109" xr:uid="{566A7747-6F34-45ED-A04A-A498AFB17E7F}"/>
    <hyperlink ref="J243" r:id="rId110" xr:uid="{68AA16B4-2AE2-42E7-9AAB-80DD7337F38D}"/>
    <hyperlink ref="J242" r:id="rId111" xr:uid="{C70A6694-58D1-42DD-A2B7-8B2402BB1BBD}"/>
    <hyperlink ref="J245" r:id="rId112" xr:uid="{ADC10CC1-B3A5-4077-B17C-2F1658039BDB}"/>
    <hyperlink ref="J246" r:id="rId113" xr:uid="{718EAF18-781F-4BEA-8853-B4F2AD61B6F1}"/>
    <hyperlink ref="J247" r:id="rId114" xr:uid="{D681C2BA-BEE2-4E01-8E88-0824D42C1201}"/>
    <hyperlink ref="J255" r:id="rId115" xr:uid="{7ED9FB85-1C7C-481F-897B-1F57FE27108F}"/>
    <hyperlink ref="J254" r:id="rId116" xr:uid="{359F0304-8D0A-4A56-B49B-685FBE2AC36B}"/>
    <hyperlink ref="J256" r:id="rId117" display="https://github.com/BredaUniversityADSAI/2024-25A-FAI1-ADSAI--MaksBurchard240894/blob/2ae3f576392d9706e6ea6e2210835965cbc6e04f/Study%20Content/Data%20Science/Week%208%20Day%201%20(Monday)/Certificate%20-%20Intermediate%20Data%20Modeling%20in%20Power%20BI.pdf" xr:uid="{912EFA01-0C9E-4665-955C-D0B76A24352F}"/>
    <hyperlink ref="J257" r:id="rId118" display="https://github.com/BredaUniversityADSAI/2024-25A-FAI1-ADSAI--MaksBurchard240894/blob/2ae3f576392d9706e6ea6e2210835965cbc6e04f/Study%20Content/Data%20Science/Week%208%20Day%201%20(Monday)/Microsoft%20Learn%20-%20Design%20a%20semantic%20model%20in%20Power%20BI.pdf" xr:uid="{96ED2063-0032-4171-A931-0944E3C03934}"/>
    <hyperlink ref="J258" r:id="rId119" display="https://github.com/BredaUniversityADSAI/2024-25A-FAI1-ADSAI--MaksBurchard240894/blob/2ae3f576392d9706e6ea6e2210835965cbc6e04f/Study%20Content/Data%20Science/Week%208%20Day%201%20(Monday)/Microsoft%20Learn%20-%20Optimize%20a%20model%20for%20performance%20in%20Power%20BI.pdf" xr:uid="{6C1DEAEC-4A46-4782-A599-0B50FF90A91A}"/>
    <hyperlink ref="J259" r:id="rId120" xr:uid="{32F3AF4D-8312-4176-85BA-EF2C9D985B58}"/>
    <hyperlink ref="J260" r:id="rId121" display="https://github.com/BredaUniversityADSAI/2024-25A-FAI1-ADSAI--MaksBurchard240894/blob/2ae3f576392d9706e6ea6e2210835965cbc6e04f/Study%20Content/Data%20Science/Week%208%20Day%201%20(Monday)/Microsoft%20Learn%20-%20Choose%20a%20Power%20BI%20model%20framework.pdf" xr:uid="{BE8A2B68-AE1D-477B-9D17-64EB8A23B3BF}"/>
    <hyperlink ref="J261" r:id="rId122" display="https://github.com/BredaUniversityADSAI/2024-25A-FAI1-ADSAI--MaksBurchard240894/blob/2ae3f576392d9706e6ea6e2210835965cbc6e04f/Study%20Content/Data%20Science/Week%208%20Day%201%20(Monday)/Microsoft%20Learn%20-%20Understand%20scalability%20in%20Power%20BI.pdf" xr:uid="{A30A4ECF-A881-485A-87CD-2523B1BF76C9}"/>
    <hyperlink ref="J262" r:id="rId123" display="https://github.com/BredaUniversityADSAI/2024-25A-FAI1-ADSAI--MaksBurchard240894/blob/2ae3f576392d9706e6ea6e2210835965cbc6e04f/Study%20Content/Data%20Science/Week%208%20Day%201%20(Monday)/Microsoft%20Learn%20-%20Write%20DAX%20formulas%20for%20Power%20BI%20Desktop%20models.pdf" xr:uid="{2F4B5631-5346-4B25-847F-48CBB18CE856}"/>
    <hyperlink ref="J263" r:id="rId124" display="https://github.com/BredaUniversityADSAI/2024-25A-FAI1-ADSAI--MaksBurchard240894/blob/2ae3f576392d9706e6ea6e2210835965cbc6e04f/Study%20Content/Data%20Science/Week%208%20Day%201%20(Monday)/Microsoft%20Learn%20-%20Create%20and%20manage%20scalable%20Power%20BI%20dataflows.pdf" xr:uid="{71991C34-F712-4855-85DF-1B3CC7E1F99D}"/>
    <hyperlink ref="J264" r:id="rId125" display="https://github.com/BredaUniversityADSAI/2024-25A-FAI1-ADSAI--MaksBurchard240894/blob/2ae3f576392d9706e6ea6e2210835965cbc6e04f/Study%20Content/Data%20Science/Week%208%20Day%201%20(Monday)/Microsoft%20Learn%20-%20Add%20measures%20to%20Power%20BI%20Desktop%20models.pdf" xr:uid="{ACCDBF86-7EE0-4864-BB08-EF414A6330D0}"/>
    <hyperlink ref="J265" r:id="rId126" display="https://github.com/BredaUniversityADSAI/2024-25A-FAI1-ADSAI--MaksBurchard240894/blob/2ae3f576392d9706e6ea6e2210835965cbc6e04f/Study%20Content/Data%20Science/Week%208%20Day%201%20(Monday)/Microsoft%20Learn%20-%20Add%20calculated%20tables%20and%20columns%20to%20Power%20BI%20Desktop%20models.pdf" xr:uid="{BA47AD0B-0E33-4DAA-B4CC-92AE8FC407E7}"/>
    <hyperlink ref="J267" r:id="rId127" xr:uid="{7F9316D4-FF40-45BE-8DE5-37212756C0C8}"/>
    <hyperlink ref="J268" r:id="rId128" xr:uid="{36C65C69-3CE0-46BB-A49D-513CD06F7EFB}"/>
    <hyperlink ref="J244" r:id="rId129" xr:uid="{142B7438-A8BB-487D-9514-86182921070D}"/>
    <hyperlink ref="J276" r:id="rId130" xr:uid="{857BF03A-45FA-4F8D-9F5E-CD2DBDDD3146}"/>
    <hyperlink ref="J278" r:id="rId131" xr:uid="{8924B988-D741-4955-85D9-DA868C05E39E}"/>
    <hyperlink ref="J277" r:id="rId132" xr:uid="{A774BFFC-7F4C-44B4-94A5-95F7787DBA05}"/>
    <hyperlink ref="J273" r:id="rId133" xr:uid="{3ACD8940-8B41-4CCB-B96D-DCBF6D42D21A}"/>
    <hyperlink ref="J274" r:id="rId134" xr:uid="{95B54591-8B14-4B43-8B93-EC8631892099}"/>
    <hyperlink ref="J270" r:id="rId135" xr:uid="{69DE6DAA-8F8E-42F5-97EC-19C786744310}"/>
    <hyperlink ref="J248" r:id="rId136" xr:uid="{D64E43B3-F1D0-4E17-BDDF-6657FB6510F0}"/>
    <hyperlink ref="J280" r:id="rId137" xr:uid="{0BC5CDAA-EC5E-4104-BCFD-28CF536829E0}"/>
    <hyperlink ref="J279" r:id="rId138" xr:uid="{E88C08C5-6463-426B-AB87-90AF71389F8F}"/>
    <hyperlink ref="J249" r:id="rId139" xr:uid="{1ADB852D-EE2A-48AE-A0B8-6A3D94DB166D}"/>
    <hyperlink ref="J281" r:id="rId140" xr:uid="{5E735F04-933D-4A56-83A4-0E9EB80C73C1}"/>
    <hyperlink ref="J286" r:id="rId141" xr:uid="{FB47A49F-9607-424B-85CC-9EB3BABF6207}"/>
    <hyperlink ref="J289" r:id="rId142" xr:uid="{A0ED553B-A41E-4824-B64A-926A98C4A087}"/>
    <hyperlink ref="J282" r:id="rId143" xr:uid="{F6D919FC-8691-48E9-978A-A38275FC15F0}"/>
    <hyperlink ref="J283" r:id="rId144" xr:uid="{2994A631-2770-4883-BC7D-9303D4FEE00B}"/>
    <hyperlink ref="J290" r:id="rId145" xr:uid="{C6F4275A-D6BF-4126-A349-230E470B0F15}"/>
    <hyperlink ref="J292" r:id="rId146" xr:uid="{EEEA09BB-35FD-4B40-898E-87153345D108}"/>
    <hyperlink ref="J291" r:id="rId147" xr:uid="{FC8AB154-38F8-413A-875E-9C44D0D60C35}"/>
    <hyperlink ref="J293" r:id="rId148" xr:uid="{EB6BC77B-9D27-4DF6-9D3D-59B0B45A1B60}"/>
    <hyperlink ref="J294" r:id="rId149" xr:uid="{A40C097B-4801-42F0-A647-6CF7AF5E1FF8}"/>
  </hyperlinks>
  <pageMargins left="0.7" right="0.7" top="0.75" bottom="0.75" header="0.3" footer="0.3"/>
  <pageSetup paperSize="9" scale="52" fitToHeight="0" orientation="landscape" horizontalDpi="0" verticalDpi="0"/>
  <extLst>
    <ext xmlns:x14="http://schemas.microsoft.com/office/spreadsheetml/2009/9/main" uri="{CCE6A557-97BC-4b89-ADB6-D9C93CAAB3DF}">
      <x14:dataValidations xmlns:xm="http://schemas.microsoft.com/office/excel/2006/main" count="3">
        <x14:dataValidation type="list" allowBlank="1" xr:uid="{00000000-0002-0000-0000-000001000000}">
          <x14:formula1>
            <xm:f>'Drop-downs'!$B$2:$B$16</xm:f>
          </x14:formula1>
          <xm:sqref>E61:E89 E156:E193 E198:E228 E29:E56 E94:E151 E254:E295 E5:E24 E233:E249</xm:sqref>
        </x14:dataValidation>
        <x14:dataValidation type="list" allowBlank="1" xr:uid="{00000000-0002-0000-0000-000002000000}">
          <x14:formula1>
            <xm:f>'Drop-downs'!$A$2:$A$9</xm:f>
          </x14:formula1>
          <xm:sqref>B61:B89 B156:B193 B198:B228 B29:B56 B94:B151 B254:B295 B5:B24 B233:B249</xm:sqref>
        </x14:dataValidation>
        <x14:dataValidation type="list" allowBlank="1" xr:uid="{022AB9B7-3090-420D-A92F-6C31608AE4FF}">
          <x14:formula1>
            <xm:f>'Drop-downs'!$C$2:$C$9</xm:f>
          </x14:formula1>
          <xm:sqref>F61:F89 F156:F193 F198:F228 F29:F56 F94:F151 F254:F295 F5:F24 F233:F249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1"/>
  <sheetViews>
    <sheetView workbookViewId="0">
      <selection activeCell="D5" sqref="D5"/>
    </sheetView>
  </sheetViews>
  <sheetFormatPr defaultColWidth="14.44140625" defaultRowHeight="15" customHeight="1" x14ac:dyDescent="0.25"/>
  <cols>
    <col min="2" max="2" width="27" customWidth="1"/>
    <col min="11" max="11" width="20.44140625" customWidth="1"/>
  </cols>
  <sheetData>
    <row r="2" spans="2:11" ht="13.8" x14ac:dyDescent="0.3">
      <c r="B2" s="17" t="s">
        <v>28</v>
      </c>
      <c r="C2" s="2" t="s">
        <v>29</v>
      </c>
      <c r="D2" s="2" t="s">
        <v>30</v>
      </c>
      <c r="E2" s="2" t="s">
        <v>31</v>
      </c>
      <c r="F2" s="2" t="s">
        <v>32</v>
      </c>
      <c r="G2" s="2" t="s">
        <v>33</v>
      </c>
      <c r="H2" s="2" t="s">
        <v>34</v>
      </c>
      <c r="I2" s="2" t="s">
        <v>35</v>
      </c>
      <c r="J2" s="2" t="s">
        <v>36</v>
      </c>
      <c r="K2" s="4" t="s">
        <v>37</v>
      </c>
    </row>
    <row r="3" spans="2:11" ht="13.8" x14ac:dyDescent="0.3">
      <c r="B3" s="6" t="str">
        <f>'Drop-downs'!C2</f>
        <v>-</v>
      </c>
      <c r="C3" s="8"/>
      <c r="D3" s="8"/>
      <c r="E3" s="8"/>
      <c r="F3" s="8"/>
      <c r="G3" s="8"/>
      <c r="H3" s="8"/>
      <c r="I3" s="8"/>
      <c r="J3" s="8"/>
      <c r="K3" s="9">
        <f t="shared" ref="K3:K10" si="0">SUM(C3:J3)</f>
        <v>0</v>
      </c>
    </row>
    <row r="4" spans="2:11" ht="13.8" x14ac:dyDescent="0.3">
      <c r="B4" s="6" t="str">
        <f>'Drop-downs'!C3</f>
        <v>ILO 0.1</v>
      </c>
      <c r="C4" s="15" cm="1">
        <f t="array" ref="C4">IFERROR(SUM(_xlfn._xlws.FILTER('Worklog_Tasks&amp;Times'!$H$5:$H$24,'Worklog_Tasks&amp;Times'!$F$5:$F$24=$B4)),0)</f>
        <v>3</v>
      </c>
      <c r="D4" s="15" cm="1">
        <f t="array" ref="D4">IFERROR(SUM(_xlfn._xlws.FILTER('Worklog_Tasks&amp;Times'!$H$29:$H$56,'Worklog_Tasks&amp;Times'!$F$29:$F$56=$B4)),0)</f>
        <v>2</v>
      </c>
      <c r="E4" s="15" cm="1">
        <f t="array" ref="E4">IFERROR(SUM(_xlfn._xlws.FILTER('Worklog_Tasks&amp;Times'!$H$61:$H$89,'Worklog_Tasks&amp;Times'!$F$61:$F$89=$B4)),0)</f>
        <v>2.5</v>
      </c>
      <c r="F4" s="15" cm="1">
        <f t="array" ref="F4">IFERROR(SUM(_xlfn._xlws.FILTER('Worklog_Tasks&amp;Times'!$H$94:$H$151,'Worklog_Tasks&amp;Times'!$F$94:$F$151=$B4)),0)</f>
        <v>0</v>
      </c>
      <c r="G4" s="15" cm="1">
        <f t="array" ref="G4">IFERROR(SUM(_xlfn._xlws.FILTER('Worklog_Tasks&amp;Times'!$H$156:$H$193,'Worklog_Tasks&amp;Times'!$F$156:$F$193=$B4)),0)</f>
        <v>0</v>
      </c>
      <c r="H4" s="15" cm="1">
        <f t="array" ref="H4">IFERROR(SUM(_xlfn._xlws.FILTER('Worklog_Tasks&amp;Times'!$H$198:$H$226,'Worklog_Tasks&amp;Times'!$F$198:$F$226=$B4)),0)</f>
        <v>0</v>
      </c>
      <c r="I4" s="15" cm="1">
        <f t="array" ref="I4">IFERROR(SUM(_xlfn._xlws.FILTER('Worklog_Tasks&amp;Times'!$H$233:$H$249,'Worklog_Tasks&amp;Times'!$F$233:$F$249=$B4)),0)</f>
        <v>4</v>
      </c>
      <c r="J4" s="15" cm="1">
        <f t="array" ref="J4">IFERROR(SUM(_xlfn._xlws.FILTER('Worklog_Tasks&amp;Times'!$H$254:$H$293,'Worklog_Tasks&amp;Times'!$F$254:$F$293=$B4)),0)</f>
        <v>0</v>
      </c>
      <c r="K4" s="9">
        <f t="shared" si="0"/>
        <v>11.5</v>
      </c>
    </row>
    <row r="5" spans="2:11" ht="13.8" x14ac:dyDescent="0.3">
      <c r="B5" s="6" t="str">
        <f>'Drop-downs'!C4</f>
        <v>ILO 0.2</v>
      </c>
      <c r="C5" s="15" cm="1">
        <f t="array" ref="C5">IFERROR(SUM(_xlfn._xlws.FILTER('Worklog_Tasks&amp;Times'!$H$5:$H$24,'Worklog_Tasks&amp;Times'!$F$5:$F$24=$B5)),0)</f>
        <v>0</v>
      </c>
      <c r="D5" s="15" cm="1">
        <f t="array" ref="D5">IFERROR(SUM(_xlfn._xlws.FILTER('Worklog_Tasks&amp;Times'!$H$29:$H$56,'Worklog_Tasks&amp;Times'!$F$29:$F$56=$B5)),0)</f>
        <v>0.75</v>
      </c>
      <c r="E5" s="15" cm="1">
        <f t="array" ref="E5">IFERROR(SUM(_xlfn._xlws.FILTER('Worklog_Tasks&amp;Times'!$H$61:$H$89,'Worklog_Tasks&amp;Times'!$F$61:$F$89=$B5)),0)</f>
        <v>1.5</v>
      </c>
      <c r="F5" s="15" cm="1">
        <f t="array" ref="F5">IFERROR(SUM(_xlfn._xlws.FILTER('Worklog_Tasks&amp;Times'!$H$94:$H$151,'Worklog_Tasks&amp;Times'!$F$94:$F$151=$B5)),0)</f>
        <v>1.5</v>
      </c>
      <c r="G5" s="15" cm="1">
        <f t="array" ref="G5">IFERROR(SUM(_xlfn._xlws.FILTER('Worklog_Tasks&amp;Times'!$H$156:$H$193,'Worklog_Tasks&amp;Times'!$F$156:$F$193=$B5)),0)</f>
        <v>1</v>
      </c>
      <c r="H5" s="15" cm="1">
        <f t="array" ref="H5">IFERROR(SUM(_xlfn._xlws.FILTER('Worklog_Tasks&amp;Times'!$H$198:$H$226,'Worklog_Tasks&amp;Times'!$F$198:$F$226=$B5)),0)</f>
        <v>4.0999999999999996</v>
      </c>
      <c r="I5" s="15" cm="1">
        <f t="array" ref="I5">IFERROR(SUM(_xlfn._xlws.FILTER('Worklog_Tasks&amp;Times'!$H$233:$H$249,'Worklog_Tasks&amp;Times'!$F$233:$F$249=$B5)),0)</f>
        <v>0</v>
      </c>
      <c r="J5" s="15" cm="1">
        <f t="array" ref="J5">IFERROR(SUM(_xlfn._xlws.FILTER('Worklog_Tasks&amp;Times'!$H$254:$H$293,'Worklog_Tasks&amp;Times'!$F$254:$F$293=$B5)),0)</f>
        <v>0</v>
      </c>
      <c r="K5" s="9">
        <f t="shared" si="0"/>
        <v>8.85</v>
      </c>
    </row>
    <row r="6" spans="2:11" ht="13.8" x14ac:dyDescent="0.3">
      <c r="B6" s="6" t="str">
        <f>'Drop-downs'!C5</f>
        <v>ILO 1.1</v>
      </c>
      <c r="C6" s="15" cm="1">
        <f t="array" ref="C6">IFERROR(SUM(_xlfn._xlws.FILTER('Worklog_Tasks&amp;Times'!$H$5:$H$24,'Worklog_Tasks&amp;Times'!$F$5:$F$24=$B6)),0)</f>
        <v>3.5</v>
      </c>
      <c r="D6" s="15" cm="1">
        <f t="array" ref="D6">IFERROR(SUM(_xlfn._xlws.FILTER('Worklog_Tasks&amp;Times'!$H$29:$H$56,'Worklog_Tasks&amp;Times'!$F$29:$F$56=$B6)),0)</f>
        <v>4.93</v>
      </c>
      <c r="E6" s="15" cm="1">
        <f t="array" ref="E6">IFERROR(SUM(_xlfn._xlws.FILTER('Worklog_Tasks&amp;Times'!$H$61:$H$89,'Worklog_Tasks&amp;Times'!$F$61:$F$89=$B6)),0)</f>
        <v>1.35</v>
      </c>
      <c r="F6" s="15" cm="1">
        <f t="array" ref="F6">IFERROR(SUM(_xlfn._xlws.FILTER('Worklog_Tasks&amp;Times'!$H$94:$H$151,'Worklog_Tasks&amp;Times'!$F$94:$F$151=$B6)),0)</f>
        <v>0.2</v>
      </c>
      <c r="G6" s="15" cm="1">
        <f t="array" ref="G6">IFERROR(SUM(_xlfn._xlws.FILTER('Worklog_Tasks&amp;Times'!$H$156:$H$193,'Worklog_Tasks&amp;Times'!$F$156:$F$193=$B6)),0)</f>
        <v>0</v>
      </c>
      <c r="H6" s="15" cm="1">
        <f t="array" ref="H6">IFERROR(SUM(_xlfn._xlws.FILTER('Worklog_Tasks&amp;Times'!$H$198:$H$226,'Worklog_Tasks&amp;Times'!$F$198:$F$226=$B6)),0)</f>
        <v>0</v>
      </c>
      <c r="I6" s="15" cm="1">
        <f t="array" ref="I6">IFERROR(SUM(_xlfn._xlws.FILTER('Worklog_Tasks&amp;Times'!$H$233:$H$249,'Worklog_Tasks&amp;Times'!$F$233:$F$249=$B6)),0)</f>
        <v>0</v>
      </c>
      <c r="J6" s="15" cm="1">
        <f t="array" ref="J6">IFERROR(SUM(_xlfn._xlws.FILTER('Worklog_Tasks&amp;Times'!$H$254:$H$293,'Worklog_Tasks&amp;Times'!$F$254:$F$293=$B6)),0)</f>
        <v>1.65</v>
      </c>
      <c r="K6" s="9">
        <f t="shared" si="0"/>
        <v>11.629999999999999</v>
      </c>
    </row>
    <row r="7" spans="2:11" ht="13.8" x14ac:dyDescent="0.3">
      <c r="B7" s="6" t="str">
        <f>'Drop-downs'!C6</f>
        <v>ILO 2.1</v>
      </c>
      <c r="C7" s="15" cm="1">
        <f t="array" ref="C7">IFERROR(SUM(_xlfn._xlws.FILTER('Worklog_Tasks&amp;Times'!$H$5:$H$24,'Worklog_Tasks&amp;Times'!$F$5:$F$24=$B7)),0)</f>
        <v>6.5</v>
      </c>
      <c r="D7" s="15" cm="1">
        <f t="array" ref="D7">IFERROR(SUM(_xlfn._xlws.FILTER('Worklog_Tasks&amp;Times'!$H$29:$H$56,'Worklog_Tasks&amp;Times'!$F$29:$F$56=$B7)),0)</f>
        <v>6</v>
      </c>
      <c r="E7" s="15" cm="1">
        <f t="array" ref="E7">IFERROR(SUM(_xlfn._xlws.FILTER('Worklog_Tasks&amp;Times'!$H$61:$H$89,'Worklog_Tasks&amp;Times'!$F$61:$F$89=$B7)),0)</f>
        <v>3.7</v>
      </c>
      <c r="F7" s="15" cm="1">
        <f t="array" ref="F7">IFERROR(SUM(_xlfn._xlws.FILTER('Worklog_Tasks&amp;Times'!$H$94:$H$151,'Worklog_Tasks&amp;Times'!$F$94:$F$151=$B7)),0)</f>
        <v>8.5500000000000007</v>
      </c>
      <c r="G7" s="15" cm="1">
        <f t="array" ref="G7">IFERROR(SUM(_xlfn._xlws.FILTER('Worklog_Tasks&amp;Times'!$H$156:$H$193,'Worklog_Tasks&amp;Times'!$F$156:$F$193=$B7)),0)</f>
        <v>5.5</v>
      </c>
      <c r="H7" s="15" cm="1">
        <f t="array" ref="H7">IFERROR(SUM(_xlfn._xlws.FILTER('Worklog_Tasks&amp;Times'!$H$198:$H$226,'Worklog_Tasks&amp;Times'!$F$198:$F$226=$B7)),0)</f>
        <v>4.25</v>
      </c>
      <c r="I7" s="15" cm="1">
        <f t="array" ref="I7">IFERROR(SUM(_xlfn._xlws.FILTER('Worklog_Tasks&amp;Times'!$H$233:$H$249,'Worklog_Tasks&amp;Times'!$F$233:$F$249=$B7)),0)</f>
        <v>8.4</v>
      </c>
      <c r="J7" s="15" cm="1">
        <f t="array" ref="J7">IFERROR(SUM(_xlfn._xlws.FILTER('Worklog_Tasks&amp;Times'!$H$254:$H$293,'Worklog_Tasks&amp;Times'!$F$254:$F$293=$B7)),0)</f>
        <v>8.6</v>
      </c>
      <c r="K7" s="9">
        <f t="shared" si="0"/>
        <v>51.5</v>
      </c>
    </row>
    <row r="8" spans="2:11" ht="13.8" x14ac:dyDescent="0.3">
      <c r="B8" s="6" t="str">
        <f>'Drop-downs'!C7</f>
        <v>ILO 3.1</v>
      </c>
      <c r="C8" s="15" cm="1">
        <f t="array" ref="C8">IFERROR(SUM(_xlfn._xlws.FILTER('Worklog_Tasks&amp;Times'!$H$5:$H$24,'Worklog_Tasks&amp;Times'!$F$5:$F$24=$B8)),0)</f>
        <v>14.25</v>
      </c>
      <c r="D8" s="15" cm="1">
        <f t="array" ref="D8">IFERROR(SUM(_xlfn._xlws.FILTER('Worklog_Tasks&amp;Times'!$H$29:$H$56,'Worklog_Tasks&amp;Times'!$F$29:$F$56=$B8)),0)</f>
        <v>13.1</v>
      </c>
      <c r="E8" s="15" cm="1">
        <f t="array" ref="E8">IFERROR(SUM(_xlfn._xlws.FILTER('Worklog_Tasks&amp;Times'!$H$61:$H$89,'Worklog_Tasks&amp;Times'!$F$61:$F$89=$B8)),0)</f>
        <v>17.95</v>
      </c>
      <c r="F8" s="15" cm="1">
        <f t="array" ref="F8">IFERROR(SUM(_xlfn._xlws.FILTER('Worklog_Tasks&amp;Times'!$H$94:$H$151,'Worklog_Tasks&amp;Times'!$F$94:$F$151=$B8)),0)</f>
        <v>0</v>
      </c>
      <c r="G8" s="15" cm="1">
        <f t="array" ref="G8">IFERROR(SUM(_xlfn._xlws.FILTER('Worklog_Tasks&amp;Times'!$H$156:$H$193,'Worklog_Tasks&amp;Times'!$F$156:$F$193=$B8)),0)</f>
        <v>0</v>
      </c>
      <c r="H8" s="15" cm="1">
        <f t="array" ref="H8">IFERROR(SUM(_xlfn._xlws.FILTER('Worklog_Tasks&amp;Times'!$H$198:$H$226,'Worklog_Tasks&amp;Times'!$F$198:$F$226=$B8)),0)</f>
        <v>0</v>
      </c>
      <c r="I8" s="15" cm="1">
        <f t="array" ref="I8">IFERROR(SUM(_xlfn._xlws.FILTER('Worklog_Tasks&amp;Times'!$H$233:$H$249,'Worklog_Tasks&amp;Times'!$F$233:$F$249=$B8)),0)</f>
        <v>0</v>
      </c>
      <c r="J8" s="15" cm="1">
        <f t="array" ref="J8">IFERROR(SUM(_xlfn._xlws.FILTER('Worklog_Tasks&amp;Times'!$H$254:$H$293,'Worklog_Tasks&amp;Times'!$F$254:$F$293=$B8)),0)</f>
        <v>0</v>
      </c>
      <c r="K8" s="9">
        <f t="shared" ref="K8" si="1">SUM(C8:J8)</f>
        <v>45.3</v>
      </c>
    </row>
    <row r="9" spans="2:11" ht="13.8" x14ac:dyDescent="0.3">
      <c r="B9" s="6" t="str">
        <f>'Drop-downs'!C8</f>
        <v>ILO 7.1</v>
      </c>
      <c r="C9" s="15" cm="1">
        <f t="array" ref="C9">IFERROR(SUM(_xlfn._xlws.FILTER('Worklog_Tasks&amp;Times'!$H$5:$H$24,'Worklog_Tasks&amp;Times'!$F$5:$F$24=$B9)),0)</f>
        <v>0</v>
      </c>
      <c r="D9" s="15" cm="1">
        <f t="array" ref="D9">IFERROR(SUM(_xlfn._xlws.FILTER('Worklog_Tasks&amp;Times'!$H$29:$H$56,'Worklog_Tasks&amp;Times'!$F$29:$F$56=$B9)),0)</f>
        <v>4.5</v>
      </c>
      <c r="E9" s="15" cm="1">
        <f t="array" ref="E9">IFERROR(SUM(_xlfn._xlws.FILTER('Worklog_Tasks&amp;Times'!$H$61:$H$89,'Worklog_Tasks&amp;Times'!$F$61:$F$89=$B9)),0)</f>
        <v>0</v>
      </c>
      <c r="F9" s="15" cm="1">
        <f t="array" ref="F9">IFERROR(SUM(_xlfn._xlws.FILTER('Worklog_Tasks&amp;Times'!$H$94:$H$151,'Worklog_Tasks&amp;Times'!$F$94:$F$151=$B9)),0)</f>
        <v>0</v>
      </c>
      <c r="G9" s="15" cm="1">
        <f t="array" ref="G9">IFERROR(SUM(_xlfn._xlws.FILTER('Worklog_Tasks&amp;Times'!$H$156:$H$193,'Worklog_Tasks&amp;Times'!$F$156:$F$193=$B9)),0)</f>
        <v>0</v>
      </c>
      <c r="H9" s="15" cm="1">
        <f t="array" ref="H9">IFERROR(SUM(_xlfn._xlws.FILTER('Worklog_Tasks&amp;Times'!$H$198:$H$226,'Worklog_Tasks&amp;Times'!$F$198:$F$226=$B9)),0)</f>
        <v>13.1</v>
      </c>
      <c r="I9" s="15" cm="1">
        <f t="array" ref="I9">IFERROR(SUM(_xlfn._xlws.FILTER('Worklog_Tasks&amp;Times'!$H$233:$H$249,'Worklog_Tasks&amp;Times'!$F$233:$F$249=$B9)),0)</f>
        <v>6.66</v>
      </c>
      <c r="J9" s="15" cm="1">
        <f t="array" ref="J9">IFERROR(SUM(_xlfn._xlws.FILTER('Worklog_Tasks&amp;Times'!$H$254:$H$293,'Worklog_Tasks&amp;Times'!$F$254:$F$293=$B9)),0)</f>
        <v>11.25</v>
      </c>
      <c r="K9" s="9">
        <f t="shared" si="0"/>
        <v>35.510000000000005</v>
      </c>
    </row>
    <row r="10" spans="2:11" ht="13.8" x14ac:dyDescent="0.3">
      <c r="B10" s="6" t="str">
        <f>'Drop-downs'!C9</f>
        <v>ILO 10.1</v>
      </c>
      <c r="C10" s="15" cm="1">
        <f t="array" ref="C10">IFERROR(SUM(_xlfn._xlws.FILTER('Worklog_Tasks&amp;Times'!$H$5:$H$24,'Worklog_Tasks&amp;Times'!$F$5:$F$24=$B10)),0)</f>
        <v>0</v>
      </c>
      <c r="D10" s="15" cm="1">
        <f t="array" ref="D10">IFERROR(SUM(_xlfn._xlws.FILTER('Worklog_Tasks&amp;Times'!$H$29:$H$56,'Worklog_Tasks&amp;Times'!$F$29:$F$56=$B10)),0)</f>
        <v>0</v>
      </c>
      <c r="E10" s="15" cm="1">
        <f t="array" ref="E10">IFERROR(SUM(_xlfn._xlws.FILTER('Worklog_Tasks&amp;Times'!$H$61:$H$89,'Worklog_Tasks&amp;Times'!$F$61:$F$89=$B10)),0)</f>
        <v>0</v>
      </c>
      <c r="F10" s="15" cm="1">
        <f t="array" ref="F10">IFERROR(SUM(_xlfn._xlws.FILTER('Worklog_Tasks&amp;Times'!$H$94:$H$151,'Worklog_Tasks&amp;Times'!$F$94:$F$151=$B10)),0)</f>
        <v>18.3</v>
      </c>
      <c r="G10" s="15" cm="1">
        <f t="array" ref="G10">IFERROR(SUM(_xlfn._xlws.FILTER('Worklog_Tasks&amp;Times'!$H$156:$H$193,'Worklog_Tasks&amp;Times'!$F$156:$F$193=$B10)),0)</f>
        <v>30</v>
      </c>
      <c r="H10" s="15" cm="1">
        <f t="array" ref="H10">IFERROR(SUM(_xlfn._xlws.FILTER('Worklog_Tasks&amp;Times'!$H$198:$H$226,'Worklog_Tasks&amp;Times'!$F$198:$F$226=$B10)),0)</f>
        <v>7</v>
      </c>
      <c r="I10" s="15" cm="1">
        <f t="array" ref="I10">IFERROR(SUM(_xlfn._xlws.FILTER('Worklog_Tasks&amp;Times'!$H$233:$H$249,'Worklog_Tasks&amp;Times'!$F$233:$F$249=$B10)),0)</f>
        <v>20.84</v>
      </c>
      <c r="J10" s="15" cm="1">
        <f t="array" ref="J10">IFERROR(SUM(_xlfn._xlws.FILTER('Worklog_Tasks&amp;Times'!$H$254:$H$293,'Worklog_Tasks&amp;Times'!$F$254:$F$293=$B10)),0)</f>
        <v>17.229999999999997</v>
      </c>
      <c r="K10" s="9">
        <f t="shared" si="0"/>
        <v>93.37</v>
      </c>
    </row>
    <row r="11" spans="2:11" ht="13.8" x14ac:dyDescent="0.3">
      <c r="B11" s="17" t="s">
        <v>38</v>
      </c>
      <c r="C11" s="18">
        <f>SUM(C3:C10)</f>
        <v>27.25</v>
      </c>
      <c r="D11" s="18">
        <f t="shared" ref="D11:J11" si="2">SUM(D3:D10)</f>
        <v>31.28</v>
      </c>
      <c r="E11" s="18">
        <f t="shared" si="2"/>
        <v>27</v>
      </c>
      <c r="F11" s="18">
        <f t="shared" si="2"/>
        <v>28.55</v>
      </c>
      <c r="G11" s="18">
        <f t="shared" si="2"/>
        <v>36.5</v>
      </c>
      <c r="H11" s="18">
        <f t="shared" si="2"/>
        <v>28.45</v>
      </c>
      <c r="I11" s="18">
        <f t="shared" si="2"/>
        <v>39.900000000000006</v>
      </c>
      <c r="J11" s="18">
        <f t="shared" si="2"/>
        <v>38.729999999999997</v>
      </c>
      <c r="K11" s="20"/>
    </row>
    <row r="12" spans="2:11" ht="13.8" x14ac:dyDescent="0.3">
      <c r="B12" s="22"/>
      <c r="C12" s="23"/>
      <c r="D12" s="23"/>
      <c r="E12" s="23"/>
      <c r="F12" s="23"/>
      <c r="G12" s="23"/>
      <c r="H12" s="23"/>
      <c r="I12" s="23"/>
      <c r="J12" s="23"/>
      <c r="K12" s="23"/>
    </row>
    <row r="13" spans="2:11" ht="15" customHeight="1" x14ac:dyDescent="0.25">
      <c r="B13" s="75" t="s">
        <v>39</v>
      </c>
      <c r="C13" s="76"/>
      <c r="D13" s="76"/>
      <c r="E13" s="76"/>
      <c r="F13" s="76"/>
      <c r="G13" s="76"/>
      <c r="H13" s="76"/>
      <c r="I13" s="76"/>
      <c r="J13" s="76"/>
      <c r="K13" s="76"/>
    </row>
    <row r="17" spans="2:6" ht="15" customHeight="1" x14ac:dyDescent="0.25">
      <c r="B17" s="74" t="s">
        <v>40</v>
      </c>
      <c r="C17" s="74"/>
      <c r="D17" s="74"/>
      <c r="E17" s="74"/>
      <c r="F17" s="74"/>
    </row>
    <row r="18" spans="2:6" ht="15" customHeight="1" x14ac:dyDescent="0.25">
      <c r="B18" s="74"/>
      <c r="C18" s="74"/>
      <c r="D18" s="74"/>
      <c r="E18" s="74"/>
      <c r="F18" s="74"/>
    </row>
    <row r="19" spans="2:6" ht="15" customHeight="1" x14ac:dyDescent="0.25">
      <c r="B19" s="74"/>
      <c r="C19" s="74"/>
      <c r="D19" s="74"/>
      <c r="E19" s="74"/>
      <c r="F19" s="74"/>
    </row>
    <row r="20" spans="2:6" ht="15" customHeight="1" x14ac:dyDescent="0.25">
      <c r="B20" s="74"/>
      <c r="C20" s="74"/>
      <c r="D20" s="74"/>
      <c r="E20" s="74"/>
      <c r="F20" s="74"/>
    </row>
    <row r="21" spans="2:6" ht="15" customHeight="1" x14ac:dyDescent="0.25">
      <c r="B21" s="74"/>
      <c r="C21" s="74"/>
      <c r="D21" s="74"/>
      <c r="E21" s="74"/>
      <c r="F21" s="74"/>
    </row>
  </sheetData>
  <mergeCells count="2">
    <mergeCell ref="B17:F21"/>
    <mergeCell ref="B13:K13"/>
  </mergeCells>
  <conditionalFormatting sqref="C11:J11">
    <cfRule type="colorScale" priority="1">
      <colorScale>
        <cfvo type="formula" val="20"/>
        <cfvo type="formula" val="40"/>
        <color rgb="FFE67C73"/>
        <color rgb="FF57BB8A"/>
      </colorScale>
    </cfRule>
  </conditionalFormatting>
  <pageMargins left="0.7" right="0.7" top="0.75" bottom="0.75" header="0.3" footer="0.3"/>
  <ignoredErrors>
    <ignoredError sqref="D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10" sqref="C10"/>
    </sheetView>
  </sheetViews>
  <sheetFormatPr defaultColWidth="14.44140625" defaultRowHeight="15" customHeight="1" x14ac:dyDescent="0.25"/>
  <cols>
    <col min="1" max="6" width="14.44140625" customWidth="1"/>
  </cols>
  <sheetData>
    <row r="1" spans="1:3" ht="15.75" customHeight="1" x14ac:dyDescent="0.25">
      <c r="A1" s="1" t="s">
        <v>41</v>
      </c>
      <c r="B1" s="1" t="s">
        <v>4</v>
      </c>
      <c r="C1" s="1" t="s">
        <v>42</v>
      </c>
    </row>
    <row r="2" spans="1:3" ht="15.75" customHeight="1" x14ac:dyDescent="0.25">
      <c r="A2" t="s">
        <v>43</v>
      </c>
      <c r="B2" t="s">
        <v>43</v>
      </c>
      <c r="C2" s="11" t="s">
        <v>43</v>
      </c>
    </row>
    <row r="3" spans="1:3" ht="15.75" customHeight="1" x14ac:dyDescent="0.25">
      <c r="A3" t="s">
        <v>44</v>
      </c>
      <c r="B3" t="s">
        <v>45</v>
      </c>
      <c r="C3" s="11" t="s">
        <v>17</v>
      </c>
    </row>
    <row r="4" spans="1:3" ht="15.75" customHeight="1" x14ac:dyDescent="0.25">
      <c r="A4" t="s">
        <v>46</v>
      </c>
      <c r="B4" t="s">
        <v>47</v>
      </c>
      <c r="C4" s="11" t="s">
        <v>48</v>
      </c>
    </row>
    <row r="5" spans="1:3" ht="15.75" customHeight="1" x14ac:dyDescent="0.25">
      <c r="A5" t="s">
        <v>49</v>
      </c>
      <c r="B5" t="s">
        <v>50</v>
      </c>
      <c r="C5" s="11" t="s">
        <v>51</v>
      </c>
    </row>
    <row r="6" spans="1:3" ht="15.75" customHeight="1" x14ac:dyDescent="0.25">
      <c r="A6" t="s">
        <v>52</v>
      </c>
      <c r="B6" t="s">
        <v>53</v>
      </c>
      <c r="C6" s="11" t="s">
        <v>54</v>
      </c>
    </row>
    <row r="7" spans="1:3" ht="15.75" customHeight="1" x14ac:dyDescent="0.25">
      <c r="A7" t="s">
        <v>55</v>
      </c>
      <c r="B7" t="s">
        <v>56</v>
      </c>
      <c r="C7" s="11" t="s">
        <v>57</v>
      </c>
    </row>
    <row r="8" spans="1:3" ht="15.75" customHeight="1" x14ac:dyDescent="0.25">
      <c r="A8" t="s">
        <v>58</v>
      </c>
      <c r="B8" t="s">
        <v>59</v>
      </c>
      <c r="C8" s="11" t="s">
        <v>60</v>
      </c>
    </row>
    <row r="9" spans="1:3" ht="15.75" customHeight="1" x14ac:dyDescent="0.25">
      <c r="A9" t="s">
        <v>61</v>
      </c>
      <c r="B9" s="11" t="s">
        <v>62</v>
      </c>
      <c r="C9" s="11" t="s">
        <v>63</v>
      </c>
    </row>
    <row r="10" spans="1:3" ht="15.75" customHeight="1" x14ac:dyDescent="0.25">
      <c r="B10" s="11" t="s">
        <v>64</v>
      </c>
    </row>
    <row r="11" spans="1:3" ht="15.75" customHeight="1" x14ac:dyDescent="0.25">
      <c r="B11" s="11" t="s">
        <v>65</v>
      </c>
    </row>
    <row r="12" spans="1:3" ht="15.75" customHeight="1" x14ac:dyDescent="0.25">
      <c r="B12" s="11" t="s">
        <v>66</v>
      </c>
    </row>
    <row r="13" spans="1:3" ht="15.75" customHeight="1" x14ac:dyDescent="0.25">
      <c r="B13" s="11" t="s">
        <v>67</v>
      </c>
    </row>
    <row r="14" spans="1:3" ht="15.75" customHeight="1" x14ac:dyDescent="0.25">
      <c r="B14" s="11" t="s">
        <v>46</v>
      </c>
    </row>
    <row r="15" spans="1:3" ht="15.75" customHeight="1" x14ac:dyDescent="0.25">
      <c r="B15" s="11" t="s">
        <v>68</v>
      </c>
    </row>
    <row r="16" spans="1:3" ht="15.75" customHeight="1" x14ac:dyDescent="0.25">
      <c r="B16" s="11" t="s">
        <v>69</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4" ma:contentTypeDescription="Create a new document." ma:contentTypeScope="" ma:versionID="9e618b3e3f00639f51cef12547d7d941">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bf7f0975f16758c3f956fd0d38ad8e2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Props1.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2.xml><?xml version="1.0" encoding="utf-8"?>
<ds:datastoreItem xmlns:ds="http://schemas.openxmlformats.org/officeDocument/2006/customXml" ds:itemID="{F2001D3B-84D9-4121-96E3-CD76FECCC0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0CF63A-30C9-4A8C-8DF9-EA62B8EC1A62}">
  <ds:schemaRefs>
    <ds:schemaRef ds:uri="http://schemas.microsoft.com/office/2006/metadata/properties"/>
    <ds:schemaRef ds:uri="http://schemas.microsoft.com/office/infopath/2007/PartnerControls"/>
    <ds:schemaRef ds:uri="5ff92c65-ed86-4457-baee-ccd535c9ea21"/>
    <ds:schemaRef ds:uri="6c8d291c-a5bf-4049-930d-38db8e991d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Maks Burchard</dc:creator>
  <cp:keywords/>
  <dc:description/>
  <cp:lastModifiedBy>Maks Burchard</cp:lastModifiedBy>
  <cp:revision/>
  <dcterms:created xsi:type="dcterms:W3CDTF">2020-05-11T09:26:10Z</dcterms:created>
  <dcterms:modified xsi:type="dcterms:W3CDTF">2024-11-01T13:05:35Z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