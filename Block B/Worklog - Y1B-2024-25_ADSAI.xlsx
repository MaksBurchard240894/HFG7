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maksb\Documents\GitHub\2024-25b-fai1-adsai-MaksBurchard240894\Deliverables\"/>
    </mc:Choice>
  </mc:AlternateContent>
  <xr:revisionPtr revIDLastSave="0" documentId="13_ncr:1_{6C4FA678-DBF0-4070-BD9B-7756FAE36615}" xr6:coauthVersionLast="47" xr6:coauthVersionMax="47" xr10:uidLastSave="{00000000-0000-0000-0000-000000000000}"/>
  <bookViews>
    <workbookView xWindow="-110" yWindow="-110" windowWidth="25820" windowHeight="15620" xr2:uid="{00000000-000D-0000-FFFF-FFFF00000000}"/>
  </bookViews>
  <sheets>
    <sheet name="Worklog_Tasks&amp;Times" sheetId="1" r:id="rId1"/>
    <sheet name="Overview" sheetId="2" state="hidden" r:id="rId2"/>
    <sheet name="Drop-downs" sheetId="3" state="hidden" r:id="rId3"/>
  </sheets>
  <definedNames>
    <definedName name="_xlnm._FilterDatabase" localSheetId="0" hidden="1">'Worklog_Tasks&amp;Times'!$A$1:$K$44</definedName>
    <definedName name="_xlnm.Print_Area" localSheetId="0">'Worklog_Tasks&amp;Times'!$A$1:$K$234</definedName>
    <definedName name="Z_8BAC9A6B_5D32_4E8D_967D_E17D357516F8_.wvu.FilterData" localSheetId="0" hidden="1">'Worklog_Tasks&amp;Times'!$A$1:$K$44</definedName>
  </definedNames>
  <calcPr calcId="191028"/>
  <customWorkbookViews>
    <customWorkbookView name="TODO" guid="{8BAC9A6B-5D32-4E8D-967D-E17D357516F8}"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7" i="1" l="1"/>
  <c r="I254" i="1"/>
  <c r="H146" i="1"/>
  <c r="H44" i="1"/>
  <c r="I209" i="1"/>
  <c r="I250" i="1"/>
  <c r="I249" i="1"/>
  <c r="I258" i="1"/>
  <c r="I256" i="1"/>
  <c r="I255" i="1"/>
  <c r="I253" i="1"/>
  <c r="I252" i="1"/>
  <c r="I251" i="1"/>
  <c r="I248" i="1"/>
  <c r="I246" i="1"/>
  <c r="I243" i="1"/>
  <c r="I208" i="1"/>
  <c r="I232" i="1"/>
  <c r="I145" i="1"/>
  <c r="I144" i="1"/>
  <c r="G146" i="1"/>
  <c r="I233" i="1"/>
  <c r="I231" i="1"/>
  <c r="I230" i="1"/>
  <c r="I229" i="1"/>
  <c r="I228" i="1"/>
  <c r="I227" i="1"/>
  <c r="I226" i="1"/>
  <c r="I225" i="1"/>
  <c r="I224" i="1"/>
  <c r="I207" i="1"/>
  <c r="I206" i="1"/>
  <c r="I205" i="1"/>
  <c r="I204" i="1"/>
  <c r="I203" i="1"/>
  <c r="I202" i="1"/>
  <c r="I196" i="1"/>
  <c r="I180" i="1"/>
  <c r="I186" i="1"/>
  <c r="I185" i="1"/>
  <c r="I184" i="1"/>
  <c r="I183" i="1"/>
  <c r="I177" i="1"/>
  <c r="I178" i="1"/>
  <c r="I179" i="1"/>
  <c r="I181" i="1"/>
  <c r="I182" i="1"/>
  <c r="I176" i="1"/>
  <c r="I175" i="1"/>
  <c r="I174" i="1"/>
  <c r="I153" i="1"/>
  <c r="I141" i="1"/>
  <c r="I142" i="1"/>
  <c r="I173" i="1"/>
  <c r="I172" i="1"/>
  <c r="I171" i="1"/>
  <c r="I170" i="1"/>
  <c r="I169" i="1"/>
  <c r="I168" i="1"/>
  <c r="I167" i="1"/>
  <c r="I161" i="1"/>
  <c r="I162" i="1"/>
  <c r="I163" i="1"/>
  <c r="I164" i="1"/>
  <c r="I165" i="1"/>
  <c r="I166" i="1"/>
  <c r="I187" i="1"/>
  <c r="I160" i="1"/>
  <c r="I118" i="1"/>
  <c r="I117" i="1"/>
  <c r="I139" i="1"/>
  <c r="I138" i="1"/>
  <c r="I137" i="1"/>
  <c r="I136" i="1"/>
  <c r="I134" i="1"/>
  <c r="I124" i="1"/>
  <c r="I127" i="1"/>
  <c r="I128" i="1"/>
  <c r="I129" i="1"/>
  <c r="I126" i="1"/>
  <c r="I125" i="1"/>
  <c r="I123" i="1"/>
  <c r="I122" i="1"/>
  <c r="I121" i="1"/>
  <c r="I120" i="1"/>
  <c r="I107" i="1"/>
  <c r="I109" i="1"/>
  <c r="I108" i="1"/>
  <c r="I110" i="1"/>
  <c r="I111" i="1"/>
  <c r="I99" i="1"/>
  <c r="I100" i="1"/>
  <c r="I101" i="1"/>
  <c r="I102" i="1"/>
  <c r="I103" i="1"/>
  <c r="I104" i="1"/>
  <c r="I105" i="1"/>
  <c r="I106" i="1"/>
  <c r="I98" i="1"/>
  <c r="I97" i="1"/>
  <c r="I95" i="1"/>
  <c r="I96" i="1"/>
  <c r="I92" i="1"/>
  <c r="I86" i="1"/>
  <c r="I89" i="1"/>
  <c r="I76" i="1"/>
  <c r="I75" i="1"/>
  <c r="H79" i="1"/>
  <c r="G79" i="1"/>
  <c r="I73" i="1"/>
  <c r="I71" i="1"/>
  <c r="I77" i="1"/>
  <c r="I78" i="1"/>
  <c r="I63" i="1"/>
  <c r="I64" i="1"/>
  <c r="I43" i="1"/>
  <c r="G44" i="1"/>
  <c r="I72" i="1"/>
  <c r="I70" i="1"/>
  <c r="I69" i="1"/>
  <c r="I68" i="1"/>
  <c r="I66" i="1"/>
  <c r="I67" i="1"/>
  <c r="I65" i="1"/>
  <c r="I61" i="1"/>
  <c r="I60" i="1"/>
  <c r="I59" i="1"/>
  <c r="I58" i="1"/>
  <c r="I57" i="1"/>
  <c r="I62" i="1"/>
  <c r="I39" i="1"/>
  <c r="I37" i="1"/>
  <c r="I36" i="1"/>
  <c r="I33" i="1"/>
  <c r="I38" i="1"/>
  <c r="I35" i="1"/>
  <c r="I34" i="1"/>
  <c r="I40" i="1"/>
  <c r="I41" i="1"/>
  <c r="I42" i="1"/>
  <c r="I32" i="1"/>
  <c r="I31" i="1"/>
  <c r="I29" i="1"/>
  <c r="I30" i="1"/>
  <c r="I23" i="1"/>
  <c r="I24" i="1"/>
  <c r="I25" i="1"/>
  <c r="I26" i="1"/>
  <c r="I27" i="1"/>
  <c r="I28" i="1"/>
  <c r="I22" i="1"/>
  <c r="I21" i="1"/>
  <c r="I20" i="1"/>
  <c r="I19" i="1"/>
  <c r="I18" i="1" l="1"/>
  <c r="I16" i="1"/>
  <c r="I15" i="1"/>
  <c r="I13" i="1"/>
  <c r="D4" i="2" l="1" a="1"/>
  <c r="D4" i="2" s="1"/>
  <c r="C5" i="2" a="1"/>
  <c r="C5" i="2" s="1"/>
  <c r="C4" i="2" a="1"/>
  <c r="C4" i="2" s="1"/>
  <c r="E4" i="2" a="1"/>
  <c r="E4" i="2" s="1"/>
  <c r="F4" i="2" a="1"/>
  <c r="F4" i="2" s="1"/>
  <c r="G4" i="2" a="1"/>
  <c r="G4" i="2" s="1"/>
  <c r="H4" i="2" a="1"/>
  <c r="H4" i="2" s="1"/>
  <c r="I4" i="2" a="1"/>
  <c r="I4" i="2" s="1"/>
  <c r="J4" i="2" a="1"/>
  <c r="J4" i="2" s="1"/>
  <c r="D5" i="2" a="1"/>
  <c r="D5" i="2" s="1"/>
  <c r="E5" i="2" a="1"/>
  <c r="E5" i="2" s="1"/>
  <c r="F5" i="2" a="1"/>
  <c r="F5" i="2" s="1"/>
  <c r="G5" i="2" a="1"/>
  <c r="G5" i="2" s="1"/>
  <c r="H5" i="2" a="1"/>
  <c r="H5" i="2" s="1"/>
  <c r="I5" i="2" a="1"/>
  <c r="I5" i="2" s="1"/>
  <c r="J5" i="2" a="1"/>
  <c r="J5" i="2" s="1"/>
  <c r="D6" i="2" a="1"/>
  <c r="D6" i="2" s="1"/>
  <c r="E6" i="2" a="1"/>
  <c r="E6" i="2" s="1"/>
  <c r="F6" i="2" a="1"/>
  <c r="F6" i="2" s="1"/>
  <c r="G6" i="2" a="1"/>
  <c r="G6" i="2" s="1"/>
  <c r="H6" i="2" a="1"/>
  <c r="H6" i="2" s="1"/>
  <c r="I6" i="2" a="1"/>
  <c r="I6" i="2" s="1"/>
  <c r="J6" i="2" a="1"/>
  <c r="J6" i="2" s="1"/>
  <c r="D7" i="2" a="1"/>
  <c r="D7" i="2" s="1"/>
  <c r="E7" i="2" a="1"/>
  <c r="E7" i="2" s="1"/>
  <c r="F7" i="2" a="1"/>
  <c r="F7" i="2" s="1"/>
  <c r="G7" i="2" a="1"/>
  <c r="G7" i="2" s="1"/>
  <c r="H7" i="2" a="1"/>
  <c r="H7" i="2" s="1"/>
  <c r="I7" i="2" a="1"/>
  <c r="I7" i="2" s="1"/>
  <c r="J7" i="2" a="1"/>
  <c r="J7" i="2" s="1"/>
  <c r="D8" i="2" a="1"/>
  <c r="D8" i="2" s="1"/>
  <c r="E8" i="2" a="1"/>
  <c r="E8" i="2" s="1"/>
  <c r="F8" i="2" a="1"/>
  <c r="F8" i="2" s="1"/>
  <c r="G8" i="2" a="1"/>
  <c r="G8" i="2" s="1"/>
  <c r="H8" i="2" a="1"/>
  <c r="H8" i="2" s="1"/>
  <c r="I8" i="2" a="1"/>
  <c r="I8" i="2" s="1"/>
  <c r="J8" i="2" a="1"/>
  <c r="J8" i="2" s="1"/>
  <c r="D9" i="2" a="1"/>
  <c r="D9" i="2" s="1"/>
  <c r="E9" i="2" a="1"/>
  <c r="E9" i="2" s="1"/>
  <c r="F9" i="2" a="1"/>
  <c r="F9" i="2" s="1"/>
  <c r="G9" i="2" a="1"/>
  <c r="G9" i="2" s="1"/>
  <c r="H9" i="2" a="1"/>
  <c r="H9" i="2" s="1"/>
  <c r="I9" i="2" a="1"/>
  <c r="I9" i="2" s="1"/>
  <c r="J9" i="2" a="1"/>
  <c r="J9" i="2" s="1"/>
  <c r="D10" i="2" a="1"/>
  <c r="D10" i="2" s="1"/>
  <c r="E10" i="2" a="1"/>
  <c r="E10" i="2" s="1"/>
  <c r="F10" i="2" a="1"/>
  <c r="F10" i="2" s="1"/>
  <c r="G10" i="2" a="1"/>
  <c r="G10" i="2" s="1"/>
  <c r="H10" i="2" a="1"/>
  <c r="H10" i="2" s="1"/>
  <c r="I10" i="2" a="1"/>
  <c r="I10" i="2" s="1"/>
  <c r="J10" i="2" a="1"/>
  <c r="J10" i="2" s="1"/>
  <c r="C6" i="2" a="1"/>
  <c r="C6" i="2" s="1"/>
  <c r="C7" i="2" a="1"/>
  <c r="C7" i="2" s="1"/>
  <c r="C8" i="2" a="1"/>
  <c r="C8" i="2" s="1"/>
  <c r="C9" i="2" a="1"/>
  <c r="C9" i="2" s="1"/>
  <c r="C10" i="2" a="1"/>
  <c r="C10" i="2" s="1"/>
  <c r="H262" i="1"/>
  <c r="G262" i="1"/>
  <c r="I261" i="1"/>
  <c r="I260" i="1"/>
  <c r="I259" i="1"/>
  <c r="I247" i="1"/>
  <c r="I245" i="1"/>
  <c r="I244" i="1"/>
  <c r="I242" i="1"/>
  <c r="I241" i="1"/>
  <c r="I240" i="1"/>
  <c r="I239" i="1"/>
  <c r="H235" i="1"/>
  <c r="G235" i="1"/>
  <c r="B9" i="2"/>
  <c r="B8" i="2"/>
  <c r="B11" i="2"/>
  <c r="B10" i="2"/>
  <c r="K11" i="2"/>
  <c r="I262" i="1" l="1"/>
  <c r="K8" i="2"/>
  <c r="K10" i="2"/>
  <c r="E12" i="2"/>
  <c r="D12" i="2"/>
  <c r="I235" i="1"/>
  <c r="J12" i="2"/>
  <c r="I12" i="2"/>
  <c r="H12" i="2"/>
  <c r="G12" i="2"/>
  <c r="F12" i="2"/>
  <c r="K9" i="2"/>
  <c r="K7" i="2"/>
  <c r="B7" i="2"/>
  <c r="K6" i="2"/>
  <c r="B6" i="2"/>
  <c r="K5" i="2"/>
  <c r="B5" i="2"/>
  <c r="C12" i="2"/>
  <c r="B4" i="2"/>
  <c r="K3" i="2"/>
  <c r="B3" i="2"/>
  <c r="I234" i="1"/>
  <c r="I223" i="1"/>
  <c r="I222" i="1"/>
  <c r="I221" i="1"/>
  <c r="I220" i="1"/>
  <c r="I219" i="1"/>
  <c r="I218" i="1"/>
  <c r="I217" i="1"/>
  <c r="I216" i="1"/>
  <c r="I215" i="1"/>
  <c r="H211" i="1"/>
  <c r="G211" i="1"/>
  <c r="I210" i="1"/>
  <c r="I201" i="1"/>
  <c r="I200" i="1"/>
  <c r="I199" i="1"/>
  <c r="I198" i="1"/>
  <c r="I197" i="1"/>
  <c r="I195" i="1"/>
  <c r="I194" i="1"/>
  <c r="I193" i="1"/>
  <c r="H189" i="1"/>
  <c r="G189" i="1"/>
  <c r="I188" i="1"/>
  <c r="I159" i="1"/>
  <c r="I158" i="1"/>
  <c r="I157" i="1"/>
  <c r="I156" i="1"/>
  <c r="I155" i="1"/>
  <c r="I154" i="1"/>
  <c r="I152" i="1"/>
  <c r="I151" i="1"/>
  <c r="I150" i="1"/>
  <c r="I143" i="1"/>
  <c r="I140" i="1"/>
  <c r="I135" i="1"/>
  <c r="I133" i="1"/>
  <c r="I132" i="1"/>
  <c r="I131" i="1"/>
  <c r="I130" i="1"/>
  <c r="I119" i="1"/>
  <c r="H113" i="1"/>
  <c r="G113" i="1"/>
  <c r="I112" i="1"/>
  <c r="I94" i="1"/>
  <c r="I93" i="1"/>
  <c r="I91" i="1"/>
  <c r="I90" i="1"/>
  <c r="I88" i="1"/>
  <c r="I87" i="1"/>
  <c r="I85" i="1"/>
  <c r="I84" i="1"/>
  <c r="I83" i="1"/>
  <c r="I74" i="1"/>
  <c r="I56" i="1"/>
  <c r="I55" i="1"/>
  <c r="I54" i="1"/>
  <c r="I53" i="1"/>
  <c r="I52" i="1"/>
  <c r="I51" i="1"/>
  <c r="I50" i="1"/>
  <c r="I49" i="1"/>
  <c r="I48" i="1"/>
  <c r="I17" i="1"/>
  <c r="I14" i="1"/>
  <c r="I12" i="1"/>
  <c r="I11" i="1"/>
  <c r="I10" i="1"/>
  <c r="I9" i="1"/>
  <c r="I8" i="1"/>
  <c r="I7" i="1"/>
  <c r="I6" i="1"/>
  <c r="I5" i="1"/>
  <c r="H264" i="1" l="1"/>
  <c r="I189" i="1"/>
  <c r="I44" i="1"/>
  <c r="K4" i="2"/>
  <c r="I79" i="1"/>
  <c r="I113" i="1"/>
  <c r="I146" i="1"/>
  <c r="I211"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<sst xmlns="http://schemas.openxmlformats.org/spreadsheetml/2006/main" count="1433" uniqueCount="416">
  <si>
    <t>Date</t>
  </si>
  <si>
    <t>Status</t>
  </si>
  <si>
    <t>Task</t>
  </si>
  <si>
    <t>Description/Planning</t>
  </si>
  <si>
    <t>Task Type</t>
  </si>
  <si>
    <t>Most suited ILO</t>
  </si>
  <si>
    <t>Est Hours</t>
  </si>
  <si>
    <t>Actual Hours</t>
  </si>
  <si>
    <t>Diff</t>
  </si>
  <si>
    <t>Evidence link</t>
  </si>
  <si>
    <t>Task reflection / notes</t>
  </si>
  <si>
    <t>Week 1</t>
  </si>
  <si>
    <t>week plan:</t>
  </si>
  <si>
    <t>- Weekplan item 1
- Weekplan item 2
- Weekplan item 3
- etc</t>
  </si>
  <si>
    <t>Known Risks</t>
  </si>
  <si>
    <t>[Enter known possible issues that are a risk for you to finish the high level week planning]</t>
  </si>
  <si>
    <t>-</t>
  </si>
  <si>
    <t>Max 4 hours tasks</t>
  </si>
  <si>
    <t>Total Hours</t>
  </si>
  <si>
    <t>Week 2</t>
  </si>
  <si>
    <t>[Enter known possible issues that are a risk for you to finish the high level week planning] - if any</t>
  </si>
  <si>
    <t>Week 3</t>
  </si>
  <si>
    <t xml:space="preserve">Week 4 </t>
  </si>
  <si>
    <t xml:space="preserve">Week 5 </t>
  </si>
  <si>
    <t xml:space="preserve">Week 6 </t>
  </si>
  <si>
    <t>Week 7</t>
  </si>
  <si>
    <t>Week 8</t>
  </si>
  <si>
    <t>Learning Objective</t>
  </si>
  <si>
    <t>W1</t>
  </si>
  <si>
    <t>W2</t>
  </si>
  <si>
    <t>W3</t>
  </si>
  <si>
    <t>W4</t>
  </si>
  <si>
    <t>W5</t>
  </si>
  <si>
    <t>W6</t>
  </si>
  <si>
    <t>W7</t>
  </si>
  <si>
    <t>W8</t>
  </si>
  <si>
    <t xml:space="preserve">Total Hours for objective </t>
  </si>
  <si>
    <t>TOTAL HOURS PER WEEK</t>
  </si>
  <si>
    <t>Use this to plan a high level allocation for all 320 hours you are expected to devote to the course during this block. How do you want to allocate your hours for each week?
Why 320 hours? The European Higher Education Framework states that an academic credit is expected to require 25-28 hours to earn.
You earn 15 credits per block, so you should be expected to devote 375 hours to accomplish that. 
CMGT students do fewer hours because the program is more intense.</t>
  </si>
  <si>
    <r>
      <t xml:space="preserve">If you add more rows to the Worklog Tasks and Time sheet, make sure to update the row count accordingly. For example, if you add an additional row for Week 1, you'll need to adjust all formula in Column C from </t>
    </r>
    <r>
      <rPr>
        <b/>
        <sz val="10"/>
        <rFont val="Arial"/>
        <family val="2"/>
      </rPr>
      <t xml:space="preserve">H14 to H15 </t>
    </r>
    <r>
      <rPr>
        <sz val="10"/>
        <rFont val="Arial"/>
        <family val="2"/>
      </rPr>
      <t xml:space="preserve">and </t>
    </r>
    <r>
      <rPr>
        <b/>
        <sz val="10"/>
        <rFont val="Arial"/>
        <family val="2"/>
      </rPr>
      <t>F14 to F15</t>
    </r>
  </si>
  <si>
    <t>Task Status</t>
  </si>
  <si>
    <t>ILO selection</t>
  </si>
  <si>
    <t>Planned</t>
  </si>
  <si>
    <t>Design</t>
  </si>
  <si>
    <t>ILO 0.3</t>
  </si>
  <si>
    <t>Unplanned</t>
  </si>
  <si>
    <t>Meeting</t>
  </si>
  <si>
    <t>ILO 1.5</t>
  </si>
  <si>
    <t>Blocked</t>
  </si>
  <si>
    <t>Programming</t>
  </si>
  <si>
    <t>ILO 2.5</t>
  </si>
  <si>
    <t>In-Progress</t>
  </si>
  <si>
    <t>Research</t>
  </si>
  <si>
    <t>ILO 3.5</t>
  </si>
  <si>
    <t>Done</t>
  </si>
  <si>
    <t>Testing</t>
  </si>
  <si>
    <t>ILO 4.4</t>
  </si>
  <si>
    <t>Delayed</t>
  </si>
  <si>
    <t>Workshop</t>
  </si>
  <si>
    <t>ILO 7.3</t>
  </si>
  <si>
    <t>Cancelled</t>
  </si>
  <si>
    <t>Planning</t>
  </si>
  <si>
    <t>ILO 11.2</t>
  </si>
  <si>
    <t>Evidencing</t>
  </si>
  <si>
    <t>Debugging</t>
  </si>
  <si>
    <t>Lecture</t>
  </si>
  <si>
    <t>Study</t>
  </si>
  <si>
    <t>Distraction</t>
  </si>
  <si>
    <t>Break</t>
  </si>
  <si>
    <t>Read block B information</t>
  </si>
  <si>
    <t>Search for deliverables templates</t>
  </si>
  <si>
    <t>Installing Python Packages</t>
  </si>
  <si>
    <t>Learn about Pandas, NumPy and Matplotlib</t>
  </si>
  <si>
    <t>Watch the "Data Analysis with Python - Full Course for Beginners (Numpy, Pandas, Matplotlib, Seaborn)" video</t>
  </si>
  <si>
    <t>Do the "Hands-on" exercise</t>
  </si>
  <si>
    <t>Do the "Hands-on" exercise 2</t>
  </si>
  <si>
    <t>Block B Kick-off</t>
  </si>
  <si>
    <t>Stand-up meeting</t>
  </si>
  <si>
    <t>Download submission files</t>
  </si>
  <si>
    <t>Fill in WorkLog</t>
  </si>
  <si>
    <t>Put in GitHub repository on my laptop</t>
  </si>
  <si>
    <t>Fill in Learning Log section A</t>
  </si>
  <si>
    <t>Move WorkLog to updated file</t>
  </si>
  <si>
    <t>Did not find it because they weren't given to us yet</t>
  </si>
  <si>
    <t>I could not download "credit.csv"</t>
  </si>
  <si>
    <t xml:space="preserve">I somehow managed to download the file and tried to do the excercises </t>
  </si>
  <si>
    <t>ILO 1.2</t>
  </si>
  <si>
    <t>ILO 2.2</t>
  </si>
  <si>
    <t>ILO 0.2</t>
  </si>
  <si>
    <t>Move Python programs to repository for potential future use</t>
  </si>
  <si>
    <t>Figure out the GitHub PDF problem</t>
  </si>
  <si>
    <t>For some reason, GitHub refuses to show PDFs on my computer, but on other devices it does work. This is meant to try and fix that. POST-TASK EDIT: Seems to be  a problem with GitHub itself and not my device, and there does nto seem to be a solution.</t>
  </si>
  <si>
    <t>Organize block B and block A files</t>
  </si>
  <si>
    <t>What is machine learning?</t>
  </si>
  <si>
    <t>Introduction and overview</t>
  </si>
  <si>
    <t>Types of Machine Learning Systems</t>
  </si>
  <si>
    <t>Challenges of Machine Learning</t>
  </si>
  <si>
    <t>Testing, Validating, and Model Selection</t>
  </si>
  <si>
    <t>Complete “ML-quiz-W1” in brightspace</t>
  </si>
  <si>
    <t>Learn about SQL</t>
  </si>
  <si>
    <t>Install SQL</t>
  </si>
  <si>
    <t>Learn about basic SQL queries</t>
  </si>
  <si>
    <t>Fill in Learning Log week 1</t>
  </si>
  <si>
    <t>EDA with SQL</t>
  </si>
  <si>
    <t>ILO 8.1</t>
  </si>
  <si>
    <t>https://github.com/BredaUniversityADSAI/2024-25b-fai1-adsai-MaksBurchard240894/blob/3b3d71a66f4e9950bc4b200f6428d8d3c5793552/Block%20B/2024-11-21.png</t>
  </si>
  <si>
    <t>Upload files to GitHub for evidencing</t>
  </si>
  <si>
    <t>Evidence week 1</t>
  </si>
  <si>
    <t>SQL Content review session</t>
  </si>
  <si>
    <t>Figure out how to connect to postgres</t>
  </si>
  <si>
    <t>Re-install PostgreSQL to fix problem</t>
  </si>
  <si>
    <t>Was not able to figure out how to fix the problem.</t>
  </si>
  <si>
    <t>Set up VPN</t>
  </si>
  <si>
    <t>Introduction and Understanding the Problem</t>
  </si>
  <si>
    <t>Data Exploration and Visualization</t>
  </si>
  <si>
    <t>Data Preparation and Feature Engineering</t>
  </si>
  <si>
    <t>Model Selection, Training and Tuning</t>
  </si>
  <si>
    <t>Evaluation, Testing and Deliverables</t>
  </si>
  <si>
    <t>Complete “ML-quiz-W2_1” in brightspace</t>
  </si>
  <si>
    <t>Fill in Learning Log week 2</t>
  </si>
  <si>
    <t>Stand-up meeting Week 2 Datalab 1</t>
  </si>
  <si>
    <t>Re-Install all the Python packages</t>
  </si>
  <si>
    <t>For some reason, VSC didn't see the environment I created last week, so I had to go through the process again.</t>
  </si>
  <si>
    <t>Learn MatPlotLib</t>
  </si>
  <si>
    <t>Learn Seaborn</t>
  </si>
  <si>
    <t>Install Seaborn for a 3rd time</t>
  </si>
  <si>
    <t>Despite installing the package twice already, VSC could not import it.</t>
  </si>
  <si>
    <t>Restart Laptop due to issues</t>
  </si>
  <si>
    <t xml:space="preserve">Some features of my laptop were acting up a bit, so I restarted my pc to fix them. </t>
  </si>
  <si>
    <t>Unfortunately, during this task the annoucement came in, which threw me off my focus and caused this task to take so long.</t>
  </si>
  <si>
    <t>EDA with Python</t>
  </si>
  <si>
    <t>Do the DataCamp course "Exploratory Data Analysis In Python"</t>
  </si>
  <si>
    <t>Analyze the state of Creative Brief Project</t>
  </si>
  <si>
    <t>Prepare for Friday DataLab</t>
  </si>
  <si>
    <t>28&amp;29-11-2024</t>
  </si>
  <si>
    <t>DataLab 2 Stand-up meeting</t>
  </si>
  <si>
    <t>Friday Content Review Session</t>
  </si>
  <si>
    <t>Guest Lecture</t>
  </si>
  <si>
    <t>EDA with Kaggle dataset</t>
  </si>
  <si>
    <t>You do not have to do it after finishing the SQL part.</t>
  </si>
  <si>
    <t>Evidence in Learning Log week 1</t>
  </si>
  <si>
    <t>Evidence Week 2 Learning Log</t>
  </si>
  <si>
    <t>Fill in Week 2 Learning Log</t>
  </si>
  <si>
    <t>Learn about Vectors</t>
  </si>
  <si>
    <t>Search for old Vector materials from High School</t>
  </si>
  <si>
    <t>Attempt to apply for retake of Python Exam</t>
  </si>
  <si>
    <t>1-on-1 feedback session with mentor</t>
  </si>
  <si>
    <t>Re-write Learning Log Section A and SMARTER Goals</t>
  </si>
  <si>
    <t>Re-write Week 1 and 2 reflection and feedback</t>
  </si>
  <si>
    <t>Fill in Learning Log Week 3</t>
  </si>
  <si>
    <t>Read chapter 3</t>
  </si>
  <si>
    <t>Complete “ML-quiz-W3_1” in brightspace</t>
  </si>
  <si>
    <t>Read chapter 4</t>
  </si>
  <si>
    <t>Complete “ML-quiz-W3_2” in brightspace</t>
  </si>
  <si>
    <t>Read summary of chapter 4</t>
  </si>
  <si>
    <t>Read summary of chapter 3</t>
  </si>
  <si>
    <t>Had to help my sister with her school work intermittently while I was doing this quiz.</t>
  </si>
  <si>
    <t>Evidence week 2 in WorkLog</t>
  </si>
  <si>
    <t>Look ahead at the Tuesday DataLab</t>
  </si>
  <si>
    <t>DataLab 1 stand-up meeting</t>
  </si>
  <si>
    <t>Implement Linear Regression</t>
  </si>
  <si>
    <t>Implement Decision Tree Regression</t>
  </si>
  <si>
    <t>ILO 6.2</t>
  </si>
  <si>
    <t>Took a bit longer than planned.</t>
  </si>
  <si>
    <t>Learn about matrices</t>
  </si>
  <si>
    <t>Application of matrices</t>
  </si>
  <si>
    <t>Introduction to Logistic Regression</t>
  </si>
  <si>
    <t>Training and Cost Function</t>
  </si>
  <si>
    <t>Decision Boundaries</t>
  </si>
  <si>
    <t>Softmax Regression</t>
  </si>
  <si>
    <t>Review the Chapter</t>
  </si>
  <si>
    <t>Complete “ML-quiz-W3_3” in brightspace</t>
  </si>
  <si>
    <t>Implement regression</t>
  </si>
  <si>
    <t>Work in Creative Brief</t>
  </si>
  <si>
    <t>Evidence Work Log Week 3</t>
  </si>
  <si>
    <t>Evidence Learning Log Week 3</t>
  </si>
  <si>
    <t>Regression Lecture</t>
  </si>
  <si>
    <t>ILO 8.2</t>
  </si>
  <si>
    <t>Complete “ML-quiz-W4_1” in brightspace</t>
  </si>
  <si>
    <t>Training and visualizing decision trees</t>
  </si>
  <si>
    <t>Making predictions and understanding purity</t>
  </si>
  <si>
    <t>The CART training algorithm</t>
  </si>
  <si>
    <t>Regularization Hyperparameters</t>
  </si>
  <si>
    <t>Regression with decision trees</t>
  </si>
  <si>
    <t>Implement a classification model</t>
  </si>
  <si>
    <t>Practice Notebook</t>
  </si>
  <si>
    <t>Learn Calculus</t>
  </si>
  <si>
    <t>Complete “ML-quiz-W4_2” in brightspace</t>
  </si>
  <si>
    <t>Stacking Ensembles</t>
  </si>
  <si>
    <t>Boosting techniques, including AdaBoost, gradient boosting, and histogram-based gradient boosting.</t>
  </si>
  <si>
    <t>Deep dive into random forests, extra-trees, and feature importance.</t>
  </si>
  <si>
    <t>Bagging and pasting techniques, along with out-of-bag evaluation.</t>
  </si>
  <si>
    <t>Introduction to ensemble learning and voting classifiers.</t>
  </si>
  <si>
    <t>Read the chapter 7 summarization</t>
  </si>
  <si>
    <t>Read the chapter 6 summarization</t>
  </si>
  <si>
    <t>Start to implement classification model</t>
  </si>
  <si>
    <t>1 on 1 meeting</t>
  </si>
  <si>
    <t>Fill in Learning Log</t>
  </si>
  <si>
    <t>I had done some overlapping work with the previous task so was shorter.</t>
  </si>
  <si>
    <t>Add feedback to week 4 Learning Log</t>
  </si>
  <si>
    <t>11&amp;13-12-2024</t>
  </si>
  <si>
    <t>Filled in WorkLog planning for Monday</t>
  </si>
  <si>
    <t>Filled in Learning Log for week 5</t>
  </si>
  <si>
    <t>Do the Python Retake</t>
  </si>
  <si>
    <t>Read Chapter 8</t>
  </si>
  <si>
    <t>Introduction to dimensionality reduction and understanding the curse of dimensionality.</t>
  </si>
  <si>
    <t>Study of projection techniques, including the PCA method.</t>
  </si>
  <si>
    <t>Deep dive into Random Projection and its applications.</t>
  </si>
  <si>
    <t>Explore manifold learning, focusing on LLE and its benefits.</t>
  </si>
  <si>
    <t>Complete “ML-quiz-W5_1” in Brightspace</t>
  </si>
  <si>
    <t>Review Chapter 8</t>
  </si>
  <si>
    <t>Read the Chapter 8 summary</t>
  </si>
  <si>
    <t>Take Python oral exam</t>
  </si>
  <si>
    <t>Python Retake part 2</t>
  </si>
  <si>
    <t>Python Retake part 1</t>
  </si>
  <si>
    <t>Read Chapter 9</t>
  </si>
  <si>
    <t>Review Chapter 9</t>
  </si>
  <si>
    <t>Read the Chapter 9 summary</t>
  </si>
  <si>
    <t>Complete “ML-quiz-W5_2” in Brightspace</t>
  </si>
  <si>
    <t>Introduction to unsupervised learning and understanding clustering basics.</t>
  </si>
  <si>
    <t>Study of K-Means and DBSCAN clustering algorithms.</t>
  </si>
  <si>
    <t>Exploration of Gaussian Mixture Models and density estimation.</t>
  </si>
  <si>
    <t>Semi-supervised learning and label propagation techniques.</t>
  </si>
  <si>
    <t>Do the stand-up meeting with mentor group</t>
  </si>
  <si>
    <t>Fill in WorkLog planning for Tuesday</t>
  </si>
  <si>
    <t>Revising documents</t>
  </si>
  <si>
    <t>Go through the WorkLog and fill in the "Task" column for previous weeks</t>
  </si>
  <si>
    <t>Datalab tasks</t>
  </si>
  <si>
    <t>Follow the k-means clustering tutorial</t>
  </si>
  <si>
    <t>Practice k-means clustering with practice notebook</t>
  </si>
  <si>
    <t>Implement k-means clustering in Python</t>
  </si>
  <si>
    <t>Apply PCA for dimensionality reduction</t>
  </si>
  <si>
    <t>Lecture on regression and classification</t>
  </si>
  <si>
    <t>Prepare for Python retake on Saturday</t>
  </si>
  <si>
    <t>Prepare for Python retake on Sunday</t>
  </si>
  <si>
    <t>Block B Introduction</t>
  </si>
  <si>
    <t>Packages basics</t>
  </si>
  <si>
    <t>Do stand-up meeting with mentor group</t>
  </si>
  <si>
    <t>Fill in WorkLog for week 1</t>
  </si>
  <si>
    <t>Fixing problem</t>
  </si>
  <si>
    <t>Read chapter 1</t>
  </si>
  <si>
    <t>Plan in WorkLog for Friday</t>
  </si>
  <si>
    <t>Fill in WorkLog for Wednesday/Thursday</t>
  </si>
  <si>
    <t>Stand Up Meeting On Friday With Mentor Group</t>
  </si>
  <si>
    <t>Learning SQL</t>
  </si>
  <si>
    <t>Fill in WorkLog for Monday</t>
  </si>
  <si>
    <t>Read chapter 2</t>
  </si>
  <si>
    <t>Learning Vectors</t>
  </si>
  <si>
    <t>Datalab preparation</t>
  </si>
  <si>
    <t>Recieve Feedback</t>
  </si>
  <si>
    <t>Datalab Tasks</t>
  </si>
  <si>
    <t>Content Review</t>
  </si>
  <si>
    <t>Retake application</t>
  </si>
  <si>
    <t>Read Chapter 3</t>
  </si>
  <si>
    <t>Read Chapter 4</t>
  </si>
  <si>
    <t>Fill in WorkLog for Tuesday</t>
  </si>
  <si>
    <t>Follow the guest lecture</t>
  </si>
  <si>
    <t>Learning Matrices</t>
  </si>
  <si>
    <t>Read chapter 5</t>
  </si>
  <si>
    <t>Fill in WorkLog for Friday</t>
  </si>
  <si>
    <t>Fill in Learning Log for week 4</t>
  </si>
  <si>
    <t>Read chapter 6</t>
  </si>
  <si>
    <t>Learning Calculus</t>
  </si>
  <si>
    <t>Read chapter 7</t>
  </si>
  <si>
    <t>Prepare for retake</t>
  </si>
  <si>
    <t>Re-install all programs for Block B on new laptop</t>
  </si>
  <si>
    <t>Installation</t>
  </si>
  <si>
    <t>Had a bit of a problem with VSC not seeing the environment or some of the packages on my new laptop.</t>
  </si>
  <si>
    <t>Do the quiz about multivariable calculus</t>
  </si>
  <si>
    <t>Wednesday Math</t>
  </si>
  <si>
    <t>Learn multivariable calculus</t>
  </si>
  <si>
    <t>Learn python for Symbolic calculus</t>
  </si>
  <si>
    <t>I understood the mathematical concept of multivariable calculus pretty quickly and so it didn't take as long as I predicted it to.</t>
  </si>
  <si>
    <t>As stated above, I understood the concepts pretty quickly and did not have too much troubles with the quiz.</t>
  </si>
  <si>
    <t>Stand-up meeting with mentor group</t>
  </si>
  <si>
    <t>Datalab Practice</t>
  </si>
  <si>
    <t>Do the DBSCAN Jupyter notebook</t>
  </si>
  <si>
    <t>Implement Random Hierarchical Clustering</t>
  </si>
  <si>
    <t>Implement DBSCAN for Density-Based Clustering</t>
  </si>
  <si>
    <t>Evaluation and Model Comparison</t>
  </si>
  <si>
    <t>Fill in WorkLog actual hours</t>
  </si>
  <si>
    <t>Fill in Learning Log for week 5</t>
  </si>
  <si>
    <t>Evidence in Learning Log week 5</t>
  </si>
  <si>
    <t>Evidence in WorkLog week 5</t>
  </si>
  <si>
    <t>Read the DataCamp tutorials</t>
  </si>
  <si>
    <t>Informal DBSCAN Lecture</t>
  </si>
  <si>
    <t>Learn how to apply feature engineering and selection</t>
  </si>
  <si>
    <t>Do DataCamp course "Feature Engineering for Machine Learning in Python"</t>
  </si>
  <si>
    <t>Do DataCamp course "End-to-End Machine Learning"</t>
  </si>
  <si>
    <t>Feature Engineering Learning</t>
  </si>
  <si>
    <t>06-07/01/2025</t>
  </si>
  <si>
    <t>Mathematics Lecture</t>
  </si>
  <si>
    <t>Do feature engineering</t>
  </si>
  <si>
    <t>Do feature selection</t>
  </si>
  <si>
    <t xml:space="preserve">Due to sickness, combined with a few breaks due to me being busy, and this being done over 2 days, this took quite some time more than planned. </t>
  </si>
  <si>
    <t>Fill in WorkLog planning for Monday</t>
  </si>
  <si>
    <t>Fill in Learning Log for week 7</t>
  </si>
  <si>
    <t>Fill in Learning Log for week 6</t>
  </si>
  <si>
    <t>Learn Fine Tuning</t>
  </si>
  <si>
    <t>Learn about Model Fitting</t>
  </si>
  <si>
    <t>Learn about Hyperparameter Optimization Techniques</t>
  </si>
  <si>
    <t>Move some documents over from old laptop to new laptop</t>
  </si>
  <si>
    <t>Organizing Documents</t>
  </si>
  <si>
    <t>Get interrupted by a scam call</t>
  </si>
  <si>
    <t>Unplanned Incident</t>
  </si>
  <si>
    <t>Learn Cross-Validation</t>
  </si>
  <si>
    <t>Learn how to evaluate using Cross-Validation &amp; its variants</t>
  </si>
  <si>
    <t>07&amp;13.01.2025</t>
  </si>
  <si>
    <t>Learn Optimization Algorithms</t>
  </si>
  <si>
    <t>Learn Gradient Descent Optimization Algorithm</t>
  </si>
  <si>
    <t>Learn Gradient Descent with Momentum</t>
  </si>
  <si>
    <t>Learn how to implement Regression Model</t>
  </si>
  <si>
    <t>Learn how to Train the Model with Gradient Descent</t>
  </si>
  <si>
    <t>Do Assignment 1</t>
  </si>
  <si>
    <t>Do Assignment 2</t>
  </si>
  <si>
    <t>Block A Evidencing</t>
  </si>
  <si>
    <t>https://github.com/BredaUniversityADSAI/2024-25b-fai1-adsai-MaksBurchard240894/blob/dbf52b5262095348a7b3b20dff20823b21fc03fb/Block%20B/Gradient%20Descent%20With%20Momentum%20from%20Scratch%20Program.ipynb</t>
  </si>
  <si>
    <t>Slow work after a break during the datalab.</t>
  </si>
  <si>
    <t>I had the material fresh in my head so I did it quite quickly.</t>
  </si>
  <si>
    <t>Ran into an error, but after asking my mentor I continued on.</t>
  </si>
  <si>
    <t>Apply Hyperparameter tuning</t>
  </si>
  <si>
    <t>Do Datacamp course "Hyperparameter Tuning in Python"</t>
  </si>
  <si>
    <t>Analyse Errors</t>
  </si>
  <si>
    <t>Fill in WorkLog up to Friday</t>
  </si>
  <si>
    <t>14&amp;17.01.2025</t>
  </si>
  <si>
    <t>Had troubles with dependencies &amp; packages</t>
  </si>
  <si>
    <t>Evidence in Learning Log week 4</t>
  </si>
  <si>
    <t>Evidence in WorkLog week 4</t>
  </si>
  <si>
    <t>Evidence in WorkLog week 6</t>
  </si>
  <si>
    <t>Evidence in Learning Log week 6</t>
  </si>
  <si>
    <t>Do logistical regression from scratch</t>
  </si>
  <si>
    <t>Read how to do logistical regression from scratch</t>
  </si>
  <si>
    <t>Retake Evidencing</t>
  </si>
  <si>
    <t>Creative Brief Work</t>
  </si>
  <si>
    <t>Evidence in Learning Log week 7</t>
  </si>
  <si>
    <t>Evidence in WorkLog week 7</t>
  </si>
  <si>
    <t>Complete Learning Log Block A</t>
  </si>
  <si>
    <t>Had a couple breaks while doing the course.</t>
  </si>
  <si>
    <t>Go through Learning Log section A and B to make sure they're done.</t>
  </si>
  <si>
    <t>Do the Linear Regression from Scratch</t>
  </si>
  <si>
    <t>Finish Learning Log Block A</t>
  </si>
  <si>
    <t>Hand in Block A retake</t>
  </si>
  <si>
    <t>Begin work on presentation</t>
  </si>
  <si>
    <t>Fill in WorkLog for Monday &amp; Tuesday</t>
  </si>
  <si>
    <t>Work on Creative Brief</t>
  </si>
  <si>
    <t>Final Presentation</t>
  </si>
  <si>
    <t>Send e-mail regarding errors</t>
  </si>
  <si>
    <t>Finish Jupyter notebooks Logistical &amp; Linear Regression</t>
  </si>
  <si>
    <t>ILO 11.1</t>
  </si>
  <si>
    <t>Finishing touches to SMARTER-goals</t>
  </si>
  <si>
    <t>I somehow missed this when catching up in week 7, so I did it later. Had a couple errors so the task took longer than expected.</t>
  </si>
  <si>
    <t>Had a bunch of errors that took me some time to fix.</t>
  </si>
  <si>
    <t>Had a couple of errors that I had to fix, which took time.</t>
  </si>
  <si>
    <t>Finish the Algebraic Example notebook</t>
  </si>
  <si>
    <t>Finish presentation</t>
  </si>
  <si>
    <t>Do the SQL tasks</t>
  </si>
  <si>
    <t>Finish creative brief</t>
  </si>
  <si>
    <t>Finish final report</t>
  </si>
  <si>
    <t>Finish WorkLog</t>
  </si>
  <si>
    <t>Finish Self-assesment rubric</t>
  </si>
  <si>
    <t>Fill in Self-assesment rubric</t>
  </si>
  <si>
    <t>I was sick and was not able to finish it here, I did it later in the week.</t>
  </si>
  <si>
    <t>Continue work on creative brief</t>
  </si>
  <si>
    <t>Continue work on final report</t>
  </si>
  <si>
    <t>https://github.com/BredaUniversityADSAI/2024-25b-fai1-adsai-MaksBurchard240894/tree/0e7620868343501c8dfcfa39189c1d60ae3a3b5e/Old%20Python%20Files</t>
  </si>
  <si>
    <t>AAA</t>
  </si>
  <si>
    <t xml:space="preserve">https://github.com/BredaUniversityADSAI/2024-25b-fai1-adsai-MaksBurchard240894 </t>
  </si>
  <si>
    <t>https://github.com/BredaUniversityADSAI/2024-25b-fai1-adsai-MaksBurchard240894/blob/0e7620868343501c8dfcfa39189c1d60ae3a3b5e/Block%20B/BlockY1B_CreativeBrief.ipynb</t>
  </si>
  <si>
    <t>I am not certain what has to be done with the "SMARTER" goals AAA</t>
  </si>
  <si>
    <t>Do the Tuesday datalab task</t>
  </si>
  <si>
    <t xml:space="preserve">https://github.com/BredaUniversityADSAI/2024-25b-fai1-adsai-MaksBurchard240894/blob/0e7620868343501c8dfcfa39189c1d60ae3a3b5e/Block%20B/Hands-On%20Machine%20Learning%20with%20Scikit-Learn%2C%20Keras%20%26%20TensorFlow.pdf </t>
  </si>
  <si>
    <t xml:space="preserve">https://github.com/BredaUniversityADSAI/2024-25b-fai1-adsai-MaksBurchard240894/blob/0e7620868343501c8dfcfa39189c1d60ae3a3b5e/Deliverables/CreativeBrief_MaksBurchard_240894.ipynb </t>
  </si>
  <si>
    <t>I had the content fresh in my mind so I did this quicker than expected.</t>
  </si>
  <si>
    <t>I'm still not too sure about the SMATER goals. AAA</t>
  </si>
  <si>
    <t>https://github.com/BredaUniversityADSAI/2024-25b-fai1-adsai-MaksBurchard240894/blob/0e7620868343501c8dfcfa39189c1d60ae3a3b5e/Block%20B/2024-11-25.png</t>
  </si>
  <si>
    <t xml:space="preserve">https://github.com/BredaUniversityADSAI/2024-25b-fai1-adsai-MaksBurchard240894/blob/0e7620868343501c8dfcfa39189c1d60ae3a3b5e/Block%20B/ADSAI%20Remote%20VPN.pdf </t>
  </si>
  <si>
    <t xml:space="preserve">https://github.com/BredaUniversityADSAI/2024-25b-fai1-adsai-MaksBurchard240894/blob/0e7620868343501c8dfcfa39189c1d60ae3a3b5e/Block%20B/DataCamp%20-%20Exploratory%20Data%20Analysis%20in%20Python.pdf </t>
  </si>
  <si>
    <t xml:space="preserve">https://github.com/BredaUniversityADSAI/2024-25b-fai1-adsai-MaksBurchard240894/blob/0e7620868343501c8dfcfa39189c1d60ae3a3b5e/Block%20B/Kick_Off_BlockB_Y1_2024_25_ADSAI.pptx </t>
  </si>
  <si>
    <t xml:space="preserve">https://github.com/BredaUniversityADSAI/2024-25b-fai1-adsai-MaksBurchard240894/blob/0e7620868343501c8dfcfa39189c1d60ae3a3b5e/Block%20B/Lead%20Analytics%20%26%20AI%20for%20BUAS.pdf </t>
  </si>
  <si>
    <t xml:space="preserve">https://github.com/BredaUniversityADSAI/2024-25b-fai1-adsai-MaksBurchard240894/blob/0e7620868343501c8dfcfa39189c1d60ae3a3b5e/Block%20B/Linear-Regression-Co2.ipynb </t>
  </si>
  <si>
    <t xml:space="preserve">https://github.com/BredaUniversityADSAI/2024-25b-fai1-adsai-MaksBurchard240894/blob/0e7620868343501c8dfcfa39189c1d60ae3a3b5e/Block%20B/Ml-quiz-W4_1%20-%20Results.png </t>
  </si>
  <si>
    <t>https://github.com/BredaUniversityADSAI/2024-25b-fai1-adsai-MaksBurchard240894/blob/0e7620868343501c8dfcfa39189c1d60ae3a3b5e/Block%20B/NumPy%20user%20guide%20%E2%80%94%20NumPy%20v2.1%20Manual.pdf</t>
  </si>
  <si>
    <t>https://github.com/BredaUniversityADSAI/2024-25b-fai1-adsai-MaksBurchard240894/blob/0e7620868343501c8dfcfa39189c1d60ae3a3b5e/Block%20B/Quick%20start%20guide%20%E2%80%94%20Matplotlib%203.9.2%20documentation.pdf</t>
  </si>
  <si>
    <t xml:space="preserve">https://github.com/BredaUniversityADSAI/2024-25b-fai1-adsai-MaksBurchard240894/blob/0e7620868343501c8dfcfa39189c1d60ae3a3b5e/Block%20B/W1%20Datalab%20I%20Exercise.txt </t>
  </si>
  <si>
    <t xml:space="preserve">https://github.com/BredaUniversityADSAI/2024-25b-fai1-adsai-MaksBurchard240894/blob/0e7620868343501c8dfcfa39189c1d60ae3a3b5e/Block%20B/Quizzes%20-%20Project%201B%202024-2025%20-%20Breda%20University%20of%20Applied%20Sciences%20W3_1.pdf </t>
  </si>
  <si>
    <t xml:space="preserve">https://github.com/BredaUniversityADSAI/2024-25b-fai1-adsai-MaksBurchard240894/blob/0e7620868343501c8dfcfa39189c1d60ae3a3b5e/Block%20B/Quizzes%20-%20Project%201B%202024-2025%20-%20Breda%20University%20of%20Applied%20Sciences%20W3_2%202.pdf </t>
  </si>
  <si>
    <t>I was already familiar with amtrices because I learned about them in high school.</t>
  </si>
  <si>
    <t>Had already made a slight start earlier in the week while I was sick</t>
  </si>
  <si>
    <t xml:space="preserve">https://github.com/BredaUniversityADSAI/2024-25b-fai1-adsai-MaksBurchard240894/blob/0e7620868343501c8dfcfa39189c1d60ae3a3b5e/Block%20B/Quizzes%20-%20Project%201B%202024-2025%20-%20Breda%20University%20of%20Applied%20Sciences%20W4_2.pdf </t>
  </si>
  <si>
    <t xml:space="preserve">https://github.com/BredaUniversityADSAI/2024-25b-fai1-adsai-MaksBurchard240894/tree/0e7620868343501c8dfcfa39189c1d60ae3a3b5e/Block%20A%20Retakes </t>
  </si>
  <si>
    <t xml:space="preserve">https://github.com/BredaUniversityADSAI/2024-25b-fai1-adsai-MaksBurchard240894/blob/0e7620868343501c8dfcfa39189c1d60ae3a3b5e/Block%20A%20Retakes/New%20folder/Quiz.png </t>
  </si>
  <si>
    <t xml:space="preserve">https://github.com/BredaUniversityADSAI/2024-25b-fai1-adsai-MaksBurchard240894/blob/0e7620868343501c8dfcfa39189c1d60ae3a3b5e/Block%20B/Quizzes%20-%20Project%201B%202024-2025%20-%20Breda%20University%20of%20Applied%20Sciences%20W5_1.pdf </t>
  </si>
  <si>
    <t xml:space="preserve">https://github.com/BredaUniversityADSAI/2024-25b-fai1-adsai-MaksBurchard240894/blob/0e7620868343501c8dfcfa39189c1d60ae3a3b5e/Block%20B/Quizzes%20-%20Project%201B%202024-2025%20-%20Breda%20University%20of%20Applied%20Sciences%20W5_2.pdf </t>
  </si>
  <si>
    <t xml:space="preserve">https://github.com/BredaUniversityADSAI/2024-25b-fai1-adsai-MaksBurchard240894/blob/0e7620868343501c8dfcfa39189c1d60ae3a3b5e/Block%20B/K-Means-Clustering.ipynb </t>
  </si>
  <si>
    <t xml:space="preserve">https://github.com/BredaUniversityADSAI/2024-25b-fai1-adsai-MaksBurchard240894/blob/0e7620868343501c8dfcfa39189c1d60ae3a3b5e/Block%20B/Quizzes%20-%20Project%201B%202024-2025%20-%20Breda%20University%20of%20Applied%20Sciences%20Multivariable%20Calculus.pdf </t>
  </si>
  <si>
    <t xml:space="preserve">https://github.com/BredaUniversityADSAI/2024-25b-fai1-adsai-MaksBurchard240894/blob/0e7620868343501c8dfcfa39189c1d60ae3a3b5e/Block%20B/DBSCN-clustering.ipynb </t>
  </si>
  <si>
    <t xml:space="preserve">https://github.com/BredaUniversityADSAI/2024-25b-fai1-adsai-MaksBurchard240894/blob/0e7620868343501c8dfcfa39189c1d60ae3a3b5e/Block%20B/An%20Introduction%20to%20Hierarchical%20Clustering%20in%20Python%20_%20DataCamp.pdf </t>
  </si>
  <si>
    <t xml:space="preserve">https://github.com/BredaUniversityADSAI/2024-25b-fai1-adsai-MaksBurchard240894/blob/0e7620868343501c8dfcfa39189c1d60ae3a3b5e/Block%20B/DataCamp%20-%20End-to-End%20Machine%20Learning.pdf </t>
  </si>
  <si>
    <t xml:space="preserve">https://github.com/BredaUniversityADSAI/2024-25b-fai1-adsai-MaksBurchard240894/blob/0e7620868343501c8dfcfa39189c1d60ae3a3b5e/Block%20B/DataCamp%20-%20Feature%20Engineering%20for%20Machine%20Learning%20in%20Python.pdf </t>
  </si>
  <si>
    <t xml:space="preserve">https://github.com/BredaUniversityADSAI/2024-25b-fai1-adsai-MaksBurchard240894/blob/0e7620868343501c8dfcfa39189c1d60ae3a3b5e/Block%20B/LinearRegression_Final.ipynb </t>
  </si>
  <si>
    <t xml:space="preserve">https://github.com/BredaUniversityADSAI/2024-25b-fai1-adsai-MaksBurchard240894/blob/0e7620868343501c8dfcfa39189c1d60ae3a3b5e/Block%20B/AlgebraicExample_Final.ipynb </t>
  </si>
  <si>
    <t xml:space="preserve">https://github.com/BredaUniversityADSAI/2024-25b-fai1-adsai-MaksBurchard240894/blob/0e7620868343501c8dfcfa39189c1d60ae3a3b5e/Block%20B/PricePred_temp.ipynb </t>
  </si>
  <si>
    <t xml:space="preserve">https://github.com/BredaUniversityADSAI/2024-25b-fai1-adsai-MaksBurchard240894/blob/dbf52b5262095348a7b3b20dff20823b21fc03fb/Block%20B/A%20Comprehensive%20Guide%20to%20K-Fold%20Cross%20Validation%20_%20DataCamp.pdf </t>
  </si>
  <si>
    <t>Fill out Block A Learning Log regarding Python Exam retake</t>
  </si>
  <si>
    <t xml:space="preserve">https://github.com/BredaUniversityADSAI/2024-25b-fai1-adsai-MaksBurchard240894/blob/0e7620868343501c8dfcfa39189c1d60ae3a3b5e/Block%20A%20Retakes/Learning%20Log%20Y1A%20ADSAI%202024-2025%20(2).pptx </t>
  </si>
  <si>
    <t xml:space="preserve">https://github.com/BredaUniversityADSAI/2024-25b-fai1-adsai-MaksBurchard240894/blob/0e7620868343501c8dfcfa39189c1d60ae3a3b5e/Block%20B/LogisticRegression_Final.ipynb </t>
  </si>
  <si>
    <t xml:space="preserve">https://github.com/BredaUniversityADSAI/2024-25b-fai1-adsai-MaksBurchard240894/blob/0e7620868343501c8dfcfa39189c1d60ae3a3b5e/Block%20B/DataCamp%20-%20Hyperparameter%20Tuning%20in%20Python.pdf </t>
  </si>
  <si>
    <t>Hand in Block A retake again with all documents, just to be sure</t>
  </si>
  <si>
    <t xml:space="preserve">https://github.com/BredaUniversityADSAI/2024-25b-fai1-adsai-MaksBurchard240894/blob/641210492f586c7e7048ca3999cc3dd4c452cfa2/Block%20B/Submission%20History%20-%20Project%201A%202024-2025%20-%20Breda%20University%20of%20Applied%20Sciences%20(1).pdf </t>
  </si>
  <si>
    <t xml:space="preserve">https://github.com/BredaUniversityADSAI/2024-25b-fai1-adsai-MaksBurchard240894/blob/641210492f586c7e7048ca3999cc3dd4c452cfa2/Block%20B/Final%20Presentation.pptx </t>
  </si>
  <si>
    <t xml:space="preserve">https://github.com/BredaUniversityADSAI/2024-25b-fai1-adsai-MaksBurchard240894/blob/641210492f586c7e7048ca3999cc3dd4c452cfa2/Deliverables/CreativeBrief_MaksBurchard_240894.ipynb </t>
  </si>
  <si>
    <t xml:space="preserve">https://github.com/BredaUniversityADSAI/2024-25b-fai1-adsai-MaksBurchard240894/blob/641210492f586c7e7048ca3999cc3dd4c452cfa2/Deliverables/FinalReport_Maks_Burchard_240894.docx </t>
  </si>
  <si>
    <t xml:space="preserve">https://github.com/BredaUniversityADSAI/2024-25b-fai1-adsai-MaksBurchard240894/blob/641210492f586c7e7048ca3999cc3dd4c452cfa2/Block%20B/AlgebraicExample_Final.ipynb </t>
  </si>
  <si>
    <t xml:space="preserve">https://github.com/BredaUniversityADSAI/2024-25b-fai1-adsai-MaksBurchard240894/blob/641210492f586c7e7048ca3999cc3dd4c452cfa2/Block%20B/LogisticRegression_Final.ipynb </t>
  </si>
  <si>
    <t>Finish Learning Log section A and B</t>
  </si>
  <si>
    <t>Finish Learning Log section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</si>
</sst>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quot;/&quot;m&quot;/&quot;yy"/>
    <numFmt numFmtId="165" formatCode="d&quot;-&quot;mmm&quot;-&quot;yyyy"/>
    <numFmt numFmtId="166" formatCode="d/m/yy"/>
  </numFmts>
  <fonts count="15" x14ac:knownFonts="1">
    <font>
      <sz val="10"/>
      <color rgb="FF000000"/>
      <name val="Arial"/>
    </font>
    <font>
      <sz val="10"/>
      <color rgb="FFFFFFFF"/>
      <name val="Arial"/>
      <family val="2"/>
    </font>
    <font>
      <b/>
      <sz val="10"/>
      <color rgb="FF000000"/>
      <name val="Calibri"/>
      <family val="2"/>
    </font>
    <font>
      <b/>
      <sz val="9"/>
      <color rgb="FFFFFFFF"/>
      <name val="Calibri"/>
      <family val="2"/>
    </font>
    <font>
      <b/>
      <sz val="9"/>
      <name val="Calibri"/>
      <family val="2"/>
    </font>
    <font>
      <sz val="10"/>
      <name val="Arial"/>
      <family val="2"/>
    </font>
    <font>
      <sz val="10"/>
      <color rgb="FF000000"/>
      <name val="Calibri"/>
      <family val="2"/>
    </font>
    <font>
      <i/>
      <sz val="9"/>
      <color rgb="FF000000"/>
      <name val="Calibri"/>
      <family val="2"/>
    </font>
    <font>
      <sz val="9"/>
      <name val="Calibri"/>
      <family val="2"/>
    </font>
    <font>
      <i/>
      <sz val="8"/>
      <name val="Calibri"/>
      <family val="2"/>
    </font>
    <font>
      <u/>
      <sz val="9"/>
      <color rgb="FF1155CC"/>
      <name val="Calibri"/>
      <family val="2"/>
    </font>
    <font>
      <i/>
      <sz val="10"/>
      <color rgb="FF000000"/>
      <name val="Calibri"/>
      <family val="2"/>
    </font>
    <font>
      <b/>
      <sz val="10"/>
      <name val="Arial"/>
      <family val="2"/>
    </font>
    <font>
      <u/>
      <sz val="10"/>
      <color theme="10"/>
      <name val="Arial"/>
    </font>
    <font>
      <sz val="9"/>
      <color rgb="FF000000"/>
      <name val="Calibri"/>
      <family val="2"/>
    </font>
  </fonts>
  <fills count="15">
    <fill>
      <patternFill patternType="none"/>
    </fill>
    <fill>
      <patternFill patternType="gray125"/>
    </fill>
    <fill>
      <patternFill patternType="solid">
        <fgColor rgb="FF000000"/>
        <bgColor rgb="FF000000"/>
      </patternFill>
    </fill>
    <fill>
      <patternFill patternType="solid">
        <fgColor rgb="FFE6B8AF"/>
        <bgColor rgb="FFE6B8AF"/>
      </patternFill>
    </fill>
    <fill>
      <patternFill patternType="solid">
        <fgColor rgb="FFF3F3F3"/>
        <bgColor rgb="FFF3F3F3"/>
      </patternFill>
    </fill>
    <fill>
      <patternFill patternType="solid">
        <fgColor rgb="FFEFEFEF"/>
        <bgColor rgb="FFEFEFEF"/>
      </patternFill>
    </fill>
    <fill>
      <patternFill patternType="solid">
        <fgColor rgb="FFFF9900"/>
        <bgColor rgb="FFFF9900"/>
      </patternFill>
    </fill>
    <fill>
      <patternFill patternType="solid">
        <fgColor rgb="FFCCCCCC"/>
        <bgColor rgb="FFCCCCCC"/>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theme="2" tint="-9.9978637043366805E-2"/>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indexed="64"/>
      </right>
      <top/>
      <bottom/>
      <diagonal/>
    </border>
    <border>
      <left/>
      <right style="thin">
        <color indexed="64"/>
      </right>
      <top/>
      <bottom style="thin">
        <color rgb="FF000000"/>
      </bottom>
      <diagonal/>
    </border>
    <border>
      <left/>
      <right style="thin">
        <color indexed="64"/>
      </right>
      <top style="thin">
        <color rgb="FF000000"/>
      </top>
      <bottom style="thin">
        <color rgb="FF000000"/>
      </bottom>
      <diagonal/>
    </border>
    <border>
      <left/>
      <right style="thin">
        <color indexed="64"/>
      </right>
      <top style="thin">
        <color rgb="FF000000"/>
      </top>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s>
  <cellStyleXfs count="2">
    <xf numFmtId="0" fontId="0" fillId="0" borderId="0"/>
    <xf numFmtId="0" fontId="13" fillId="0" borderId="0" applyNumberFormat="0" applyFill="0" applyBorder="0" applyAlignment="0" applyProtection="0"/>
  </cellStyleXfs>
  <cellXfs count="81">
    <xf numFmtId="0" fontId="0" fillId="0" borderId="0" xfId="0"/>
    <xf numFmtId="0" fontId="1" fillId="2" borderId="0" xfId="0" applyFont="1" applyFill="1"/>
    <xf numFmtId="0" fontId="2" fillId="0" borderId="2" xfId="0" applyFont="1" applyBorder="1" applyAlignment="1">
      <alignment horizontal="center"/>
    </xf>
    <xf numFmtId="0" fontId="2" fillId="0" borderId="1" xfId="0" applyFont="1" applyBorder="1" applyAlignment="1">
      <alignment horizontal="center"/>
    </xf>
    <xf numFmtId="0" fontId="6" fillId="4" borderId="4" xfId="0" applyFont="1" applyFill="1" applyBorder="1"/>
    <xf numFmtId="0" fontId="4" fillId="3" borderId="3" xfId="0" applyFont="1" applyFill="1" applyBorder="1" applyAlignment="1">
      <alignment vertical="center" wrapText="1"/>
    </xf>
    <xf numFmtId="0" fontId="6" fillId="4" borderId="0" xfId="0" applyFont="1" applyFill="1" applyAlignment="1">
      <alignment horizontal="center" vertical="top"/>
    </xf>
    <xf numFmtId="0" fontId="6" fillId="4" borderId="4" xfId="0" applyFont="1" applyFill="1" applyBorder="1" applyAlignment="1">
      <alignment horizontal="center"/>
    </xf>
    <xf numFmtId="0" fontId="4" fillId="3" borderId="1" xfId="0" applyFont="1" applyFill="1" applyBorder="1" applyAlignment="1">
      <alignment vertical="center" wrapText="1"/>
    </xf>
    <xf numFmtId="0" fontId="5" fillId="0" borderId="0" xfId="0" applyFont="1"/>
    <xf numFmtId="0" fontId="6" fillId="5" borderId="0" xfId="0" applyFont="1" applyFill="1" applyAlignment="1">
      <alignment horizontal="center" vertical="top"/>
    </xf>
    <xf numFmtId="0" fontId="2" fillId="0" borderId="1" xfId="0" applyFont="1" applyBorder="1"/>
    <xf numFmtId="0" fontId="2" fillId="0" borderId="2" xfId="0" applyFont="1" applyBorder="1" applyAlignment="1">
      <alignment horizontal="center" vertical="top"/>
    </xf>
    <xf numFmtId="165" fontId="8" fillId="0" borderId="6" xfId="0" applyNumberFormat="1" applyFont="1" applyBorder="1" applyAlignment="1">
      <alignment vertical="top"/>
    </xf>
    <xf numFmtId="0" fontId="2" fillId="0" borderId="1" xfId="0" applyFont="1" applyBorder="1" applyAlignment="1">
      <alignment horizontal="center" vertical="top"/>
    </xf>
    <xf numFmtId="0" fontId="8" fillId="0" borderId="6" xfId="0" applyFont="1" applyBorder="1" applyAlignment="1">
      <alignment vertical="top"/>
    </xf>
    <xf numFmtId="0" fontId="6" fillId="0" borderId="0" xfId="0" applyFont="1"/>
    <xf numFmtId="0" fontId="6" fillId="0" borderId="0" xfId="0" applyFont="1" applyAlignment="1">
      <alignment horizontal="center"/>
    </xf>
    <xf numFmtId="0" fontId="8" fillId="0" borderId="6" xfId="0" applyFont="1" applyBorder="1" applyAlignment="1">
      <alignment horizontal="right" vertical="top"/>
    </xf>
    <xf numFmtId="0" fontId="8" fillId="0" borderId="6" xfId="0" applyFont="1" applyBorder="1" applyAlignment="1">
      <alignment horizontal="left" vertical="top"/>
    </xf>
    <xf numFmtId="0" fontId="4" fillId="8" borderId="1" xfId="0" applyFont="1" applyFill="1" applyBorder="1" applyAlignment="1">
      <alignment vertical="center" wrapText="1"/>
    </xf>
    <xf numFmtId="0" fontId="4" fillId="9" borderId="3" xfId="0" applyFont="1" applyFill="1" applyBorder="1" applyAlignment="1">
      <alignment vertical="center" wrapText="1"/>
    </xf>
    <xf numFmtId="0" fontId="4" fillId="9" borderId="1" xfId="0" applyFont="1" applyFill="1" applyBorder="1" applyAlignment="1">
      <alignment vertical="center" wrapText="1"/>
    </xf>
    <xf numFmtId="0" fontId="4" fillId="10" borderId="3" xfId="0" applyFont="1" applyFill="1" applyBorder="1" applyAlignment="1">
      <alignment vertical="center" wrapText="1"/>
    </xf>
    <xf numFmtId="0" fontId="4" fillId="10" borderId="1" xfId="0" applyFont="1" applyFill="1" applyBorder="1" applyAlignment="1">
      <alignment vertical="center" wrapText="1"/>
    </xf>
    <xf numFmtId="0" fontId="4" fillId="11" borderId="3" xfId="0" applyFont="1" applyFill="1" applyBorder="1" applyAlignment="1">
      <alignment vertical="center" wrapText="1"/>
    </xf>
    <xf numFmtId="0" fontId="4" fillId="11" borderId="1" xfId="0" applyFont="1" applyFill="1" applyBorder="1" applyAlignment="1">
      <alignment vertical="center" wrapText="1"/>
    </xf>
    <xf numFmtId="0" fontId="4" fillId="12" borderId="3" xfId="0" applyFont="1" applyFill="1" applyBorder="1" applyAlignment="1">
      <alignment vertical="center" wrapText="1"/>
    </xf>
    <xf numFmtId="0" fontId="4" fillId="12" borderId="1" xfId="0" applyFont="1" applyFill="1" applyBorder="1" applyAlignment="1">
      <alignment vertical="center" wrapText="1"/>
    </xf>
    <xf numFmtId="0" fontId="4" fillId="13" borderId="3" xfId="0" applyFont="1" applyFill="1" applyBorder="1" applyAlignment="1">
      <alignment vertical="center" wrapText="1"/>
    </xf>
    <xf numFmtId="0" fontId="4" fillId="13" borderId="1" xfId="0" applyFont="1" applyFill="1" applyBorder="1" applyAlignment="1">
      <alignment vertical="center" wrapText="1"/>
    </xf>
    <xf numFmtId="0" fontId="4" fillId="8" borderId="3" xfId="0" applyFont="1" applyFill="1" applyBorder="1" applyAlignment="1">
      <alignment vertical="center" wrapText="1"/>
    </xf>
    <xf numFmtId="0" fontId="4" fillId="14" borderId="3" xfId="0" applyFont="1" applyFill="1" applyBorder="1" applyAlignment="1">
      <alignment vertical="center" wrapText="1"/>
    </xf>
    <xf numFmtId="0" fontId="4" fillId="14" borderId="1" xfId="0" applyFont="1" applyFill="1" applyBorder="1" applyAlignment="1">
      <alignment vertical="center" wrapText="1"/>
    </xf>
    <xf numFmtId="0" fontId="3" fillId="2" borderId="0" xfId="0" applyFont="1" applyFill="1" applyAlignment="1">
      <alignment wrapText="1"/>
    </xf>
    <xf numFmtId="0" fontId="3" fillId="2" borderId="0" xfId="0" applyFont="1" applyFill="1" applyAlignment="1">
      <alignment horizontal="center" wrapText="1"/>
    </xf>
    <xf numFmtId="0" fontId="3" fillId="2" borderId="7" xfId="0" applyFont="1" applyFill="1" applyBorder="1" applyAlignment="1">
      <alignment wrapText="1"/>
    </xf>
    <xf numFmtId="164" fontId="8" fillId="0" borderId="0" xfId="0" applyNumberFormat="1" applyFont="1" applyAlignment="1">
      <alignment horizontal="right" vertical="top"/>
    </xf>
    <xf numFmtId="0" fontId="8" fillId="0" borderId="0" xfId="0" applyFont="1" applyAlignment="1">
      <alignment vertical="top"/>
    </xf>
    <xf numFmtId="0" fontId="9" fillId="0" borderId="0" xfId="0" applyFont="1" applyAlignment="1">
      <alignment vertical="top"/>
    </xf>
    <xf numFmtId="0" fontId="8" fillId="0" borderId="0" xfId="0" applyFont="1" applyAlignment="1">
      <alignment horizontal="center" vertical="top"/>
    </xf>
    <xf numFmtId="0" fontId="8" fillId="0" borderId="0" xfId="0" applyFont="1" applyAlignment="1">
      <alignment horizontal="right" vertical="top"/>
    </xf>
    <xf numFmtId="0" fontId="10" fillId="0" borderId="0" xfId="0" applyFont="1" applyAlignment="1">
      <alignment horizontal="left" vertical="top"/>
    </xf>
    <xf numFmtId="0" fontId="8" fillId="0" borderId="7" xfId="0" applyFont="1" applyBorder="1" applyAlignment="1">
      <alignment vertical="top"/>
    </xf>
    <xf numFmtId="0" fontId="8" fillId="0" borderId="7" xfId="0" applyFont="1" applyBorder="1" applyAlignment="1">
      <alignment vertical="top" wrapText="1"/>
    </xf>
    <xf numFmtId="0" fontId="8" fillId="0" borderId="0" xfId="0" applyFont="1" applyAlignment="1">
      <alignment horizontal="left" vertical="top"/>
    </xf>
    <xf numFmtId="0" fontId="8" fillId="0" borderId="10" xfId="0" applyFont="1" applyBorder="1" applyAlignment="1">
      <alignment vertical="top"/>
    </xf>
    <xf numFmtId="166" fontId="8" fillId="0" borderId="0" xfId="0" applyNumberFormat="1" applyFont="1" applyAlignment="1">
      <alignment horizontal="right" vertical="top"/>
    </xf>
    <xf numFmtId="165" fontId="8" fillId="0" borderId="11" xfId="0" applyNumberFormat="1" applyFont="1" applyBorder="1" applyAlignment="1">
      <alignment vertical="top"/>
    </xf>
    <xf numFmtId="0" fontId="8" fillId="0" borderId="11" xfId="0" applyFont="1" applyBorder="1" applyAlignment="1">
      <alignment vertical="top"/>
    </xf>
    <xf numFmtId="0" fontId="8" fillId="0" borderId="11" xfId="0" applyFont="1" applyBorder="1" applyAlignment="1">
      <alignment horizontal="right" vertical="top"/>
    </xf>
    <xf numFmtId="0" fontId="8" fillId="0" borderId="11" xfId="0" applyFont="1" applyBorder="1" applyAlignment="1">
      <alignment horizontal="left" vertical="top"/>
    </xf>
    <xf numFmtId="0" fontId="8" fillId="0" borderId="12" xfId="0" applyFont="1" applyBorder="1" applyAlignment="1">
      <alignment vertical="top"/>
    </xf>
    <xf numFmtId="0" fontId="13" fillId="0" borderId="0" xfId="1" applyAlignment="1">
      <alignment horizontal="left" vertical="top"/>
    </xf>
    <xf numFmtId="0" fontId="14" fillId="0" borderId="0" xfId="0" applyFont="1"/>
    <xf numFmtId="0" fontId="13" fillId="0" borderId="7" xfId="1" applyBorder="1" applyAlignment="1">
      <alignment vertical="top"/>
    </xf>
    <xf numFmtId="0" fontId="4" fillId="14" borderId="5" xfId="0" applyFont="1" applyFill="1" applyBorder="1" applyAlignment="1">
      <alignment vertical="center" wrapText="1"/>
    </xf>
    <xf numFmtId="0" fontId="5" fillId="14" borderId="2" xfId="0" applyFont="1" applyFill="1" applyBorder="1"/>
    <xf numFmtId="0" fontId="5" fillId="14" borderId="9" xfId="0" applyFont="1" applyFill="1" applyBorder="1"/>
    <xf numFmtId="0" fontId="7" fillId="14" borderId="5" xfId="0" applyFont="1" applyFill="1" applyBorder="1" applyAlignment="1">
      <alignment vertical="center"/>
    </xf>
    <xf numFmtId="0" fontId="4" fillId="3" borderId="3" xfId="0" applyFont="1" applyFill="1" applyBorder="1" applyAlignment="1">
      <alignment horizontal="left" vertical="center" wrapText="1"/>
    </xf>
    <xf numFmtId="0" fontId="5" fillId="0" borderId="3" xfId="0" applyFont="1" applyBorder="1"/>
    <xf numFmtId="0" fontId="5" fillId="0" borderId="8" xfId="0" applyFont="1" applyBorder="1"/>
    <xf numFmtId="0" fontId="7" fillId="3" borderId="5" xfId="0" applyFont="1" applyFill="1" applyBorder="1" applyAlignment="1">
      <alignment vertical="center"/>
    </xf>
    <xf numFmtId="0" fontId="5" fillId="0" borderId="2" xfId="0" applyFont="1" applyBorder="1"/>
    <xf numFmtId="0" fontId="5" fillId="0" borderId="9" xfId="0" applyFont="1" applyBorder="1"/>
    <xf numFmtId="0" fontId="4" fillId="8" borderId="3" xfId="0" applyFont="1" applyFill="1" applyBorder="1" applyAlignment="1">
      <alignment vertical="center" wrapText="1"/>
    </xf>
    <xf numFmtId="0" fontId="7" fillId="8" borderId="5" xfId="0" applyFont="1" applyFill="1" applyBorder="1" applyAlignment="1">
      <alignment vertical="center"/>
    </xf>
    <xf numFmtId="0" fontId="4" fillId="9" borderId="5" xfId="0" applyFont="1" applyFill="1" applyBorder="1" applyAlignment="1">
      <alignment vertical="center" wrapText="1"/>
    </xf>
    <xf numFmtId="0" fontId="7" fillId="9" borderId="5" xfId="0" applyFont="1" applyFill="1" applyBorder="1" applyAlignment="1">
      <alignment vertical="center"/>
    </xf>
    <xf numFmtId="0" fontId="4" fillId="10" borderId="5" xfId="0" applyFont="1" applyFill="1" applyBorder="1" applyAlignment="1">
      <alignment vertical="center" wrapText="1"/>
    </xf>
    <xf numFmtId="0" fontId="7" fillId="13" borderId="5" xfId="0" applyFont="1" applyFill="1" applyBorder="1" applyAlignment="1">
      <alignment vertical="center"/>
    </xf>
    <xf numFmtId="0" fontId="7" fillId="10" borderId="5" xfId="0" applyFont="1" applyFill="1" applyBorder="1" applyAlignment="1">
      <alignment vertical="center"/>
    </xf>
    <xf numFmtId="0" fontId="7" fillId="12" borderId="5" xfId="0" applyFont="1" applyFill="1" applyBorder="1" applyAlignment="1">
      <alignment vertical="center"/>
    </xf>
    <xf numFmtId="0" fontId="4" fillId="13" borderId="5" xfId="0" applyFont="1" applyFill="1" applyBorder="1" applyAlignment="1">
      <alignment vertical="center" wrapText="1"/>
    </xf>
    <xf numFmtId="0" fontId="4" fillId="11" borderId="5" xfId="0" applyFont="1" applyFill="1" applyBorder="1" applyAlignment="1">
      <alignment vertical="center" wrapText="1"/>
    </xf>
    <xf numFmtId="0" fontId="7" fillId="11" borderId="5" xfId="0" applyFont="1" applyFill="1" applyBorder="1" applyAlignment="1">
      <alignment vertical="center"/>
    </xf>
    <xf numFmtId="0" fontId="4" fillId="12" borderId="5" xfId="0" applyFont="1" applyFill="1" applyBorder="1" applyAlignment="1">
      <alignment vertical="center" wrapText="1"/>
    </xf>
    <xf numFmtId="0" fontId="11" fillId="6" borderId="0" xfId="0" applyFont="1" applyFill="1" applyAlignment="1">
      <alignment vertical="top" wrapText="1"/>
    </xf>
    <xf numFmtId="0" fontId="0" fillId="0" borderId="0" xfId="0"/>
    <xf numFmtId="0" fontId="5" fillId="7" borderId="0" xfId="0" applyFont="1" applyFill="1" applyAlignment="1">
      <alignment horizontal="center" vertical="center" wrapText="1"/>
    </xf>
  </cellXfs>
  <cellStyles count="2">
    <cellStyle name="Hyperlink" xfId="1" builtinId="8"/>
    <cellStyle name="Normal" xfId="0" builtinId="0"/>
  </cellStyles>
  <dxfs count="11">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6B26B"/>
          <bgColor rgb="FFF6B26B"/>
        </patternFill>
      </fill>
    </dxf>
    <dxf>
      <fill>
        <patternFill patternType="solid">
          <fgColor rgb="FFFFD966"/>
          <bgColor rgb="FFFFD966"/>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github.com/BredaUniversityADSAI/2024-25b-fai1-adsai-MaksBurchard240894/blob/0e7620868343501c8dfcfa39189c1d60ae3a3b5e/Block%20B/Quick%20start%20guide%20%E2%80%94%20Matplotlib%203.9.2%20documentation.pdf" TargetMode="External"/><Relationship Id="rId21" Type="http://schemas.openxmlformats.org/officeDocument/2006/relationships/hyperlink" Target="https://github.com/BredaUniversityADSAI/2024-25b-fai1-adsai-MaksBurchard240894/blob/0e7620868343501c8dfcfa39189c1d60ae3a3b5e/Block%20B/Kick_Off_BlockB_Y1_2024_25_ADSAI.pptx" TargetMode="External"/><Relationship Id="rId42"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47"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63"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68" Type="http://schemas.openxmlformats.org/officeDocument/2006/relationships/hyperlink" Target="https://github.com/BredaUniversityADSAI/2024-25b-fai1-adsai-MaksBurchard240894/blob/0e7620868343501c8dfcfa39189c1d60ae3a3b5e/Block%20B/Quizzes%20-%20Project%201B%202024-2025%20-%20Breda%20University%20of%20Applied%20Sciences%20W5_1.pdf" TargetMode="External"/><Relationship Id="rId84" Type="http://schemas.openxmlformats.org/officeDocument/2006/relationships/hyperlink" Target="https://github.com/BredaUniversityADSAI/2024-25b-fai1-adsai-MaksBurchard240894/blob/0e7620868343501c8dfcfa39189c1d60ae3a3b5e/Block%20B/LinearRegression_Final.ipynb" TargetMode="External"/><Relationship Id="rId89" Type="http://schemas.openxmlformats.org/officeDocument/2006/relationships/hyperlink" Target="https://github.com/BredaUniversityADSAI/2024-25b-fai1-adsai-MaksBurchard240894/blob/0e7620868343501c8dfcfa39189c1d60ae3a3b5e/Block%20A%20Retakes/Learning%20Log%20Y1A%20ADSAI%202024-2025%20(2).pptx" TargetMode="External"/><Relationship Id="rId16"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11"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32" Type="http://schemas.openxmlformats.org/officeDocument/2006/relationships/hyperlink" Target="https://github.com/BredaUniversityADSAI/2024-25b-fai1-adsai-MaksBurchard240894/blob/0e7620868343501c8dfcfa39189c1d60ae3a3b5e/Deliverables/CreativeBrief_MaksBurchard_240894.ipynb" TargetMode="External"/><Relationship Id="rId37"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53"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58" Type="http://schemas.openxmlformats.org/officeDocument/2006/relationships/hyperlink" Target="https://github.com/BredaUniversityADSAI/2024-25b-fai1-adsai-MaksBurchard240894/tree/0e7620868343501c8dfcfa39189c1d60ae3a3b5e/Block%20A%20Retakes" TargetMode="External"/><Relationship Id="rId74" Type="http://schemas.openxmlformats.org/officeDocument/2006/relationships/hyperlink" Target="https://github.com/BredaUniversityADSAI/2024-25b-fai1-adsai-MaksBurchard240894/blob/0e7620868343501c8dfcfa39189c1d60ae3a3b5e/Deliverables/CreativeBrief_MaksBurchard_240894.ipynb" TargetMode="External"/><Relationship Id="rId79" Type="http://schemas.openxmlformats.org/officeDocument/2006/relationships/hyperlink" Target="https://github.com/BredaUniversityADSAI/2024-25b-fai1-adsai-MaksBurchard240894/blob/0e7620868343501c8dfcfa39189c1d60ae3a3b5e/Block%20B/An%20Introduction%20to%20Hierarchical%20Clustering%20in%20Python%20_%20DataCamp.pdf" TargetMode="External"/><Relationship Id="rId102" Type="http://schemas.openxmlformats.org/officeDocument/2006/relationships/hyperlink" Target="https://github.com/BredaUniversityADSAI/2024-25b-fai1-adsai-MaksBurchard240894/blob/641210492f586c7e7048ca3999cc3dd4c452cfa2/Deliverables/FinalReport_Maks_Burchard_240894.docx" TargetMode="External"/><Relationship Id="rId5" Type="http://schemas.openxmlformats.org/officeDocument/2006/relationships/hyperlink" Target="https://github.com/BredaUniversityADSAI/2024-25b-fai1-adsai-MaksBurchard240894/blob/0e7620868343501c8dfcfa39189c1d60ae3a3b5e/Block%20B/BlockY1B_CreativeBrief.ipynb" TargetMode="External"/><Relationship Id="rId90" Type="http://schemas.openxmlformats.org/officeDocument/2006/relationships/hyperlink" Target="https://github.com/BredaUniversityADSAI/2024-25b-fai1-adsai-MaksBurchard240894/blob/0e7620868343501c8dfcfa39189c1d60ae3a3b5e/Deliverables/CreativeBrief_MaksBurchard_240894.ipynb" TargetMode="External"/><Relationship Id="rId95" Type="http://schemas.openxmlformats.org/officeDocument/2006/relationships/hyperlink" Target="https://github.com/BredaUniversityADSAI/2024-25b-fai1-adsai-MaksBurchard240894/blob/641210492f586c7e7048ca3999cc3dd4c452cfa2/Block%20B/Submission%20History%20-%20Project%201A%202024-2025%20-%20Breda%20University%20of%20Applied%20Sciences%20(1).pdf" TargetMode="External"/><Relationship Id="rId22" Type="http://schemas.openxmlformats.org/officeDocument/2006/relationships/hyperlink" Target="https://github.com/BredaUniversityADSAI/2024-25b-fai1-adsai-MaksBurchard240894/blob/0e7620868343501c8dfcfa39189c1d60ae3a3b5e/Block%20B/Lead%20Analytics%20%26%20AI%20for%20BUAS.pdf" TargetMode="External"/><Relationship Id="rId27" Type="http://schemas.openxmlformats.org/officeDocument/2006/relationships/hyperlink" Target="https://github.com/BredaUniversityADSAI/2024-25b-fai1-adsai-MaksBurchard240894/blob/0e7620868343501c8dfcfa39189c1d60ae3a3b5e/Block%20B/W1%20Datalab%20I%20Exercise.txt" TargetMode="External"/><Relationship Id="rId43" Type="http://schemas.openxmlformats.org/officeDocument/2006/relationships/hyperlink" Target="https://github.com/BredaUniversityADSAI/2024-25b-fai1-adsai-MaksBurchard240894/blob/0e7620868343501c8dfcfa39189c1d60ae3a3b5e/Block%20B/Quizzes%20-%20Project%201B%202024-2025%20-%20Breda%20University%20of%20Applied%20Sciences%20W3_1.pdf" TargetMode="External"/><Relationship Id="rId48"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64"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69" Type="http://schemas.openxmlformats.org/officeDocument/2006/relationships/hyperlink" Target="https://github.com/BredaUniversityADSAI/2024-25b-fai1-adsai-MaksBurchard240894/blob/0e7620868343501c8dfcfa39189c1d60ae3a3b5e/Block%20B/Quizzes%20-%20Project%201B%202024-2025%20-%20Breda%20University%20of%20Applied%20Sciences%20W5_2.pdf" TargetMode="External"/><Relationship Id="rId80" Type="http://schemas.openxmlformats.org/officeDocument/2006/relationships/hyperlink" Target="https://github.com/BredaUniversityADSAI/2024-25b-fai1-adsai-MaksBurchard240894/blob/0e7620868343501c8dfcfa39189c1d60ae3a3b5e/Block%20B/DataCamp%20-%20End-to-End%20Machine%20Learning.pdf" TargetMode="External"/><Relationship Id="rId85" Type="http://schemas.openxmlformats.org/officeDocument/2006/relationships/hyperlink" Target="https://github.com/BredaUniversityADSAI/2024-25b-fai1-adsai-MaksBurchard240894/blob/0e7620868343501c8dfcfa39189c1d60ae3a3b5e/Block%20B/AlgebraicExample_Final.ipynb" TargetMode="External"/><Relationship Id="rId12" Type="http://schemas.openxmlformats.org/officeDocument/2006/relationships/hyperlink" Target="https://github.com/BredaUniversityADSAI/2024-25b-fai1-adsai-MaksBurchard240894/blob/0e7620868343501c8dfcfa39189c1d60ae3a3b5e/Deliverables/CreativeBrief_MaksBurchard_240894.ipynb" TargetMode="External"/><Relationship Id="rId17"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33" Type="http://schemas.openxmlformats.org/officeDocument/2006/relationships/hyperlink" Target="https://github.com/BredaUniversityADSAI/2024-25b-fai1-adsai-MaksBurchard240894/blob/0e7620868343501c8dfcfa39189c1d60ae3a3b5e/Deliverables/CreativeBrief_MaksBurchard_240894.ipynb" TargetMode="External"/><Relationship Id="rId38"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59" Type="http://schemas.openxmlformats.org/officeDocument/2006/relationships/hyperlink" Target="https://github.com/BredaUniversityADSAI/2024-25b-fai1-adsai-MaksBurchard240894/blob/0e7620868343501c8dfcfa39189c1d60ae3a3b5e/Block%20A%20Retakes/New%20folder/Quiz.png" TargetMode="External"/><Relationship Id="rId103" Type="http://schemas.openxmlformats.org/officeDocument/2006/relationships/hyperlink" Target="https://github.com/BredaUniversityADSAI/2024-25b-fai1-adsai-MaksBurchard240894/blob/641210492f586c7e7048ca3999cc3dd4c452cfa2/Deliverables/CreativeBrief_MaksBurchard_240894.ipynb" TargetMode="External"/><Relationship Id="rId20" Type="http://schemas.openxmlformats.org/officeDocument/2006/relationships/hyperlink" Target="https://github.com/BredaUniversityADSAI/2024-25b-fai1-adsai-MaksBurchard240894/blob/0e7620868343501c8dfcfa39189c1d60ae3a3b5e/Block%20B/DataCamp%20-%20Exploratory%20Data%20Analysis%20in%20Python.pdf" TargetMode="External"/><Relationship Id="rId41"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54"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62"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70" Type="http://schemas.openxmlformats.org/officeDocument/2006/relationships/hyperlink" Target="https://github.com/BredaUniversityADSAI/2024-25b-fai1-adsai-MaksBurchard240894/blob/0e7620868343501c8dfcfa39189c1d60ae3a3b5e/Block%20B/K-Means-Clustering.ipynb" TargetMode="External"/><Relationship Id="rId75" Type="http://schemas.openxmlformats.org/officeDocument/2006/relationships/hyperlink" Target="https://github.com/BredaUniversityADSAI/2024-25b-fai1-adsai-MaksBurchard240894/blob/0e7620868343501c8dfcfa39189c1d60ae3a3b5e/Deliverables/CreativeBrief_MaksBurchard_240894.ipynb" TargetMode="External"/><Relationship Id="rId83" Type="http://schemas.openxmlformats.org/officeDocument/2006/relationships/hyperlink" Target="https://github.com/BredaUniversityADSAI/2024-25b-fai1-adsai-MaksBurchard240894/blob/0e7620868343501c8dfcfa39189c1d60ae3a3b5e/Deliverables/CreativeBrief_MaksBurchard_240894.ipynb" TargetMode="External"/><Relationship Id="rId88" Type="http://schemas.openxmlformats.org/officeDocument/2006/relationships/hyperlink" Target="https://github.com/BredaUniversityADSAI/2024-25b-fai1-adsai-MaksBurchard240894/blob/0e7620868343501c8dfcfa39189c1d60ae3a3b5e/Block%20A%20Retakes/Learning%20Log%20Y1A%20ADSAI%202024-2025%20(2).pptx" TargetMode="External"/><Relationship Id="rId91" Type="http://schemas.openxmlformats.org/officeDocument/2006/relationships/hyperlink" Target="https://github.com/BredaUniversityADSAI/2024-25b-fai1-adsai-MaksBurchard240894/blob/0e7620868343501c8dfcfa39189c1d60ae3a3b5e/Deliverables/CreativeBrief_MaksBurchard_240894.ipynb" TargetMode="External"/><Relationship Id="rId96" Type="http://schemas.openxmlformats.org/officeDocument/2006/relationships/hyperlink" Target="https://github.com/BredaUniversityADSAI/2024-25b-fai1-adsai-MaksBurchard240894/blob/641210492f586c7e7048ca3999cc3dd4c452cfa2/Block%20B/Submission%20History%20-%20Project%201A%202024-2025%20-%20Breda%20University%20of%20Applied%20Sciences%20(1).pdf" TargetMode="External"/><Relationship Id="rId1" Type="http://schemas.openxmlformats.org/officeDocument/2006/relationships/hyperlink" Target="https://github.com/BredaUniversityADSAI/2024-25b-fai1-adsai-MaksBurchard240894/blob/3b3d71a66f4e9950bc4b200f6428d8d3c5793552/Block%20B/2024-11-21.png" TargetMode="External"/><Relationship Id="rId6" Type="http://schemas.openxmlformats.org/officeDocument/2006/relationships/hyperlink" Target="https://github.com/BredaUniversityADSAI/2024-25b-fai1-adsai-MaksBurchard240894" TargetMode="External"/><Relationship Id="rId15"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23" Type="http://schemas.openxmlformats.org/officeDocument/2006/relationships/hyperlink" Target="https://github.com/BredaUniversityADSAI/2024-25b-fai1-adsai-MaksBurchard240894/blob/0e7620868343501c8dfcfa39189c1d60ae3a3b5e/Block%20B/Linear-Regression-Co2.ipynb" TargetMode="External"/><Relationship Id="rId28" Type="http://schemas.openxmlformats.org/officeDocument/2006/relationships/hyperlink" Target="https://github.com/BredaUniversityADSAI/2024-25b-fai1-adsai-MaksBurchard240894/blob/0e7620868343501c8dfcfa39189c1d60ae3a3b5e/Deliverables/CreativeBrief_MaksBurchard_240894.ipynb" TargetMode="External"/><Relationship Id="rId36"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49"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57" Type="http://schemas.openxmlformats.org/officeDocument/2006/relationships/hyperlink" Target="https://github.com/BredaUniversityADSAI/2024-25b-fai1-adsai-MaksBurchard240894/tree/0e7620868343501c8dfcfa39189c1d60ae3a3b5e/Block%20A%20Retakes" TargetMode="External"/><Relationship Id="rId106" Type="http://schemas.openxmlformats.org/officeDocument/2006/relationships/printerSettings" Target="../printerSettings/printerSettings1.bin"/><Relationship Id="rId10"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31" Type="http://schemas.openxmlformats.org/officeDocument/2006/relationships/hyperlink" Target="https://github.com/BredaUniversityADSAI/2024-25b-fai1-adsai-MaksBurchard240894/blob/0e7620868343501c8dfcfa39189c1d60ae3a3b5e/Block%20B/2024-11-25.png" TargetMode="External"/><Relationship Id="rId44" Type="http://schemas.openxmlformats.org/officeDocument/2006/relationships/hyperlink" Target="https://github.com/BredaUniversityADSAI/2024-25b-fai1-adsai-MaksBurchard240894/blob/0e7620868343501c8dfcfa39189c1d60ae3a3b5e/Block%20B/Quizzes%20-%20Project%201B%202024-2025%20-%20Breda%20University%20of%20Applied%20Sciences%20W3_2%202.pdf" TargetMode="External"/><Relationship Id="rId52"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60"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65"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73" Type="http://schemas.openxmlformats.org/officeDocument/2006/relationships/hyperlink" Target="https://github.com/BredaUniversityADSAI/2024-25b-fai1-adsai-MaksBurchard240894/blob/0e7620868343501c8dfcfa39189c1d60ae3a3b5e/Deliverables/CreativeBrief_MaksBurchard_240894.ipynb" TargetMode="External"/><Relationship Id="rId78" Type="http://schemas.openxmlformats.org/officeDocument/2006/relationships/hyperlink" Target="https://github.com/BredaUniversityADSAI/2024-25b-fai1-adsai-MaksBurchard240894/blob/0e7620868343501c8dfcfa39189c1d60ae3a3b5e/Block%20B/DBSCN-clustering.ipynb" TargetMode="External"/><Relationship Id="rId81" Type="http://schemas.openxmlformats.org/officeDocument/2006/relationships/hyperlink" Target="https://github.com/BredaUniversityADSAI/2024-25b-fai1-adsai-MaksBurchard240894/blob/0e7620868343501c8dfcfa39189c1d60ae3a3b5e/Block%20B/DataCamp%20-%20Feature%20Engineering%20for%20Machine%20Learning%20in%20Python.pdf" TargetMode="External"/><Relationship Id="rId86" Type="http://schemas.openxmlformats.org/officeDocument/2006/relationships/hyperlink" Target="https://github.com/BredaUniversityADSAI/2024-25b-fai1-adsai-MaksBurchard240894/blob/0e7620868343501c8dfcfa39189c1d60ae3a3b5e/Block%20B/PricePred_temp.ipynb" TargetMode="External"/><Relationship Id="rId94" Type="http://schemas.openxmlformats.org/officeDocument/2006/relationships/hyperlink" Target="https://github.com/BredaUniversityADSAI/2024-25b-fai1-adsai-MaksBurchard240894/blob/0e7620868343501c8dfcfa39189c1d60ae3a3b5e/Block%20A%20Retakes/Learning%20Log%20Y1A%20ADSAI%202024-2025%20(2).pptx" TargetMode="External"/><Relationship Id="rId99" Type="http://schemas.openxmlformats.org/officeDocument/2006/relationships/hyperlink" Target="https://github.com/BredaUniversityADSAI/2024-25b-fai1-adsai-MaksBurchard240894/blob/641210492f586c7e7048ca3999cc3dd4c452cfa2/Deliverables/CreativeBrief_MaksBurchard_240894.ipynb" TargetMode="External"/><Relationship Id="rId101" Type="http://schemas.openxmlformats.org/officeDocument/2006/relationships/hyperlink" Target="https://github.com/BredaUniversityADSAI/2024-25b-fai1-adsai-MaksBurchard240894/blob/641210492f586c7e7048ca3999cc3dd4c452cfa2/Deliverables/FinalReport_Maks_Burchard_240894.docx" TargetMode="External"/><Relationship Id="rId4" Type="http://schemas.openxmlformats.org/officeDocument/2006/relationships/hyperlink" Target="https://github.com/BredaUniversityADSAI/2024-25b-fai1-adsai-MaksBurchard240894" TargetMode="External"/><Relationship Id="rId9"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13" Type="http://schemas.openxmlformats.org/officeDocument/2006/relationships/hyperlink" Target="https://github.com/BredaUniversityADSAI/2024-25b-fai1-adsai-MaksBurchard240894/blob/0e7620868343501c8dfcfa39189c1d60ae3a3b5e/Deliverables/CreativeBrief_MaksBurchard_240894.ipynb" TargetMode="External"/><Relationship Id="rId18"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39" Type="http://schemas.openxmlformats.org/officeDocument/2006/relationships/hyperlink" Target="https://github.com/BredaUniversityADSAI/2024-25b-fai1-adsai-MaksBurchard240894/blob/0e7620868343501c8dfcfa39189c1d60ae3a3b5e/Deliverables/CreativeBrief_MaksBurchard_240894.ipynb" TargetMode="External"/><Relationship Id="rId34"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50"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55" Type="http://schemas.openxmlformats.org/officeDocument/2006/relationships/hyperlink" Target="https://github.com/BredaUniversityADSAI/2024-25b-fai1-adsai-MaksBurchard240894/blob/0e7620868343501c8dfcfa39189c1d60ae3a3b5e/Block%20B/Quizzes%20-%20Project%201B%202024-2025%20-%20Breda%20University%20of%20Applied%20Sciences%20W4_2.pdf" TargetMode="External"/><Relationship Id="rId76" Type="http://schemas.openxmlformats.org/officeDocument/2006/relationships/hyperlink" Target="https://github.com/BredaUniversityADSAI/2024-25b-fai1-adsai-MaksBurchard240894/blob/0e7620868343501c8dfcfa39189c1d60ae3a3b5e/Deliverables/CreativeBrief_MaksBurchard_240894.ipynb" TargetMode="External"/><Relationship Id="rId97" Type="http://schemas.openxmlformats.org/officeDocument/2006/relationships/hyperlink" Target="https://github.com/BredaUniversityADSAI/2024-25b-fai1-adsai-MaksBurchard240894/blob/641210492f586c7e7048ca3999cc3dd4c452cfa2/Block%20B/Final%20Presentation.pptx" TargetMode="External"/><Relationship Id="rId104" Type="http://schemas.openxmlformats.org/officeDocument/2006/relationships/hyperlink" Target="https://github.com/BredaUniversityADSAI/2024-25b-fai1-adsai-MaksBurchard240894/blob/641210492f586c7e7048ca3999cc3dd4c452cfa2/Block%20B/AlgebraicExample_Final.ipynb" TargetMode="External"/><Relationship Id="rId7"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71" Type="http://schemas.openxmlformats.org/officeDocument/2006/relationships/hyperlink" Target="https://github.com/BredaUniversityADSAI/2024-25b-fai1-adsai-MaksBurchard240894/blob/0e7620868343501c8dfcfa39189c1d60ae3a3b5e/Block%20B/K-Means-Clustering.ipynb" TargetMode="External"/><Relationship Id="rId92" Type="http://schemas.openxmlformats.org/officeDocument/2006/relationships/hyperlink" Target="https://github.com/BredaUniversityADSAI/2024-25b-fai1-adsai-MaksBurchard240894/blob/0e7620868343501c8dfcfa39189c1d60ae3a3b5e/Block%20B/LogisticRegression_Final.ipynb" TargetMode="External"/><Relationship Id="rId2" Type="http://schemas.openxmlformats.org/officeDocument/2006/relationships/hyperlink" Target="https://github.com/BredaUniversityADSAI/2024-25b-fai1-adsai-MaksBurchard240894/blob/dbf52b5262095348a7b3b20dff20823b21fc03fb/Block%20B/Gradient%20Descent%20With%20Momentum%20from%20Scratch%20Program.ipynb" TargetMode="External"/><Relationship Id="rId29" Type="http://schemas.openxmlformats.org/officeDocument/2006/relationships/hyperlink" Target="https://github.com/BredaUniversityADSAI/2024-25b-fai1-adsai-MaksBurchard240894/blob/0e7620868343501c8dfcfa39189c1d60ae3a3b5e/Deliverables/CreativeBrief_MaksBurchard_240894.ipynb" TargetMode="External"/><Relationship Id="rId24" Type="http://schemas.openxmlformats.org/officeDocument/2006/relationships/hyperlink" Target="https://github.com/BredaUniversityADSAI/2024-25b-fai1-adsai-MaksBurchard240894/blob/0e7620868343501c8dfcfa39189c1d60ae3a3b5e/Block%20B/Ml-quiz-W4_1%20-%20Results.png" TargetMode="External"/><Relationship Id="rId40" Type="http://schemas.openxmlformats.org/officeDocument/2006/relationships/hyperlink" Target="https://github.com/BredaUniversityADSAI/2024-25b-fai1-adsai-MaksBurchard240894/blob/0e7620868343501c8dfcfa39189c1d60ae3a3b5e/Deliverables/CreativeBrief_MaksBurchard_240894.ipynb" TargetMode="External"/><Relationship Id="rId45"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66"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87" Type="http://schemas.openxmlformats.org/officeDocument/2006/relationships/hyperlink" Target="https://github.com/BredaUniversityADSAI/2024-25b-fai1-adsai-MaksBurchard240894/blob/dbf52b5262095348a7b3b20dff20823b21fc03fb/Block%20B/A%20Comprehensive%20Guide%20to%20K-Fold%20Cross%20Validation%20_%20DataCamp.pdf" TargetMode="External"/><Relationship Id="rId61"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82" Type="http://schemas.openxmlformats.org/officeDocument/2006/relationships/hyperlink" Target="https://github.com/BredaUniversityADSAI/2024-25b-fai1-adsai-MaksBurchard240894/blob/0e7620868343501c8dfcfa39189c1d60ae3a3b5e/Deliverables/CreativeBrief_MaksBurchard_240894.ipynb" TargetMode="External"/><Relationship Id="rId19" Type="http://schemas.openxmlformats.org/officeDocument/2006/relationships/hyperlink" Target="https://github.com/BredaUniversityADSAI/2024-25b-fai1-adsai-MaksBurchard240894/blob/0e7620868343501c8dfcfa39189c1d60ae3a3b5e/Block%20B/ADSAI%20Remote%20VPN.pdf" TargetMode="External"/><Relationship Id="rId14"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30" Type="http://schemas.openxmlformats.org/officeDocument/2006/relationships/hyperlink" Target="https://github.com/BredaUniversityADSAI/2024-25b-fai1-adsai-MaksBurchard240894/blob/0e7620868343501c8dfcfa39189c1d60ae3a3b5e/Deliverables/CreativeBrief_MaksBurchard_240894.ipynb" TargetMode="External"/><Relationship Id="rId35"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56" Type="http://schemas.openxmlformats.org/officeDocument/2006/relationships/hyperlink" Target="https://github.com/BredaUniversityADSAI/2024-25b-fai1-adsai-MaksBurchard240894/blob/0e7620868343501c8dfcfa39189c1d60ae3a3b5e/Deliverables/CreativeBrief_MaksBurchard_240894.ipynb" TargetMode="External"/><Relationship Id="rId77" Type="http://schemas.openxmlformats.org/officeDocument/2006/relationships/hyperlink" Target="https://github.com/BredaUniversityADSAI/2024-25b-fai1-adsai-MaksBurchard240894/blob/0e7620868343501c8dfcfa39189c1d60ae3a3b5e/Block%20B/Quizzes%20-%20Project%201B%202024-2025%20-%20Breda%20University%20of%20Applied%20Sciences%20Multivariable%20Calculus.pdf" TargetMode="External"/><Relationship Id="rId100" Type="http://schemas.openxmlformats.org/officeDocument/2006/relationships/hyperlink" Target="https://github.com/BredaUniversityADSAI/2024-25b-fai1-adsai-MaksBurchard240894/blob/641210492f586c7e7048ca3999cc3dd4c452cfa2/Deliverables/CreativeBrief_MaksBurchard_240894.ipynb" TargetMode="External"/><Relationship Id="rId105" Type="http://schemas.openxmlformats.org/officeDocument/2006/relationships/hyperlink" Target="https://github.com/BredaUniversityADSAI/2024-25b-fai1-adsai-MaksBurchard240894/blob/641210492f586c7e7048ca3999cc3dd4c452cfa2/Block%20B/LogisticRegression_Final.ipynb" TargetMode="External"/><Relationship Id="rId8"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51"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72" Type="http://schemas.openxmlformats.org/officeDocument/2006/relationships/hyperlink" Target="https://github.com/BredaUniversityADSAI/2024-25b-fai1-adsai-MaksBurchard240894/blob/0e7620868343501c8dfcfa39189c1d60ae3a3b5e/Deliverables/CreativeBrief_MaksBurchard_240894.ipynb" TargetMode="External"/><Relationship Id="rId93" Type="http://schemas.openxmlformats.org/officeDocument/2006/relationships/hyperlink" Target="https://github.com/BredaUniversityADSAI/2024-25b-fai1-adsai-MaksBurchard240894/blob/0e7620868343501c8dfcfa39189c1d60ae3a3b5e/Block%20B/DataCamp%20-%20Hyperparameter%20Tuning%20in%20Python.pdf" TargetMode="External"/><Relationship Id="rId98" Type="http://schemas.openxmlformats.org/officeDocument/2006/relationships/hyperlink" Target="https://github.com/BredaUniversityADSAI/2024-25b-fai1-adsai-MaksBurchard240894/blob/641210492f586c7e7048ca3999cc3dd4c452cfa2/Deliverables/CreativeBrief_MaksBurchard_240894.ipynb" TargetMode="External"/><Relationship Id="rId3" Type="http://schemas.openxmlformats.org/officeDocument/2006/relationships/hyperlink" Target="https://github.com/BredaUniversityADSAI/2024-25b-fai1-adsai-MaksBurchard240894/tree/0e7620868343501c8dfcfa39189c1d60ae3a3b5e/Old%20Python%20Files" TargetMode="External"/><Relationship Id="rId25" Type="http://schemas.openxmlformats.org/officeDocument/2006/relationships/hyperlink" Target="https://github.com/BredaUniversityADSAI/2024-25b-fai1-adsai-MaksBurchard240894/blob/0e7620868343501c8dfcfa39189c1d60ae3a3b5e/Block%20B/NumPy%20user%20guide%20%E2%80%94%20NumPy%20v2.1%20Manual.pdf" TargetMode="External"/><Relationship Id="rId46"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 Id="rId67" Type="http://schemas.openxmlformats.org/officeDocument/2006/relationships/hyperlink" Target="https://github.com/BredaUniversityADSAI/2024-25b-fai1-adsai-MaksBurchard240894/blob/0e7620868343501c8dfcfa39189c1d60ae3a3b5e/Block%20B/Hands-On%20Machine%20Learning%20with%20Scikit-Learn%2C%20Keras%20%26%20TensorFlow.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K264"/>
  <sheetViews>
    <sheetView tabSelected="1" workbookViewId="0">
      <pane ySplit="1" topLeftCell="A234" activePane="bottomLeft" state="frozen"/>
      <selection pane="bottomLeft" activeCell="J256" sqref="J256"/>
    </sheetView>
  </sheetViews>
  <sheetFormatPr defaultColWidth="14.453125" defaultRowHeight="15" customHeight="1" x14ac:dyDescent="0.25"/>
  <cols>
    <col min="1" max="1" width="9.90625" customWidth="1"/>
    <col min="2" max="2" width="11.36328125" customWidth="1"/>
    <col min="3" max="3" width="16.36328125" customWidth="1"/>
    <col min="4" max="4" width="43.453125" customWidth="1"/>
    <col min="5" max="5" width="15.453125" customWidth="1"/>
    <col min="6" max="6" width="14.90625" bestFit="1" customWidth="1"/>
    <col min="7" max="7" width="10.08984375" bestFit="1" customWidth="1"/>
    <col min="8" max="8" width="10.6328125" bestFit="1" customWidth="1"/>
    <col min="9" max="9" width="6" bestFit="1" customWidth="1"/>
    <col min="10" max="10" width="18.453125" customWidth="1"/>
    <col min="11" max="11" width="57" customWidth="1"/>
  </cols>
  <sheetData>
    <row r="1" spans="1:11" ht="13" x14ac:dyDescent="0.3">
      <c r="A1" s="34" t="s">
        <v>0</v>
      </c>
      <c r="B1" s="34" t="s">
        <v>1</v>
      </c>
      <c r="C1" s="34" t="s">
        <v>2</v>
      </c>
      <c r="D1" s="34" t="s">
        <v>3</v>
      </c>
      <c r="E1" s="35" t="s">
        <v>4</v>
      </c>
      <c r="F1" s="35" t="s">
        <v>5</v>
      </c>
      <c r="G1" s="35" t="s">
        <v>6</v>
      </c>
      <c r="H1" s="35" t="s">
        <v>7</v>
      </c>
      <c r="I1" s="35" t="s">
        <v>8</v>
      </c>
      <c r="J1" s="35" t="s">
        <v>9</v>
      </c>
      <c r="K1" s="36" t="s">
        <v>10</v>
      </c>
    </row>
    <row r="2" spans="1:11" ht="18.75" customHeight="1" x14ac:dyDescent="0.25">
      <c r="A2" s="60" t="s">
        <v>11</v>
      </c>
      <c r="B2" s="61"/>
      <c r="C2" s="61"/>
      <c r="D2" s="61"/>
      <c r="E2" s="61"/>
      <c r="F2" s="61"/>
      <c r="G2" s="61"/>
      <c r="H2" s="61"/>
      <c r="I2" s="61"/>
      <c r="J2" s="61"/>
      <c r="K2" s="62"/>
    </row>
    <row r="3" spans="1:11" ht="12.5" x14ac:dyDescent="0.25">
      <c r="A3" s="5" t="s">
        <v>12</v>
      </c>
      <c r="B3" s="63" t="s">
        <v>13</v>
      </c>
      <c r="C3" s="64"/>
      <c r="D3" s="64"/>
      <c r="E3" s="64"/>
      <c r="F3" s="64"/>
      <c r="G3" s="64"/>
      <c r="H3" s="64"/>
      <c r="I3" s="64"/>
      <c r="J3" s="64"/>
      <c r="K3" s="65"/>
    </row>
    <row r="4" spans="1:11" ht="27.75" customHeight="1" x14ac:dyDescent="0.25">
      <c r="A4" s="8" t="s">
        <v>14</v>
      </c>
      <c r="B4" s="63" t="s">
        <v>15</v>
      </c>
      <c r="C4" s="64"/>
      <c r="D4" s="64"/>
      <c r="E4" s="64"/>
      <c r="F4" s="64"/>
      <c r="G4" s="64"/>
      <c r="H4" s="64"/>
      <c r="I4" s="64"/>
      <c r="J4" s="64"/>
      <c r="K4" s="65"/>
    </row>
    <row r="5" spans="1:11" ht="12.5" x14ac:dyDescent="0.25">
      <c r="A5" s="37">
        <v>45614</v>
      </c>
      <c r="B5" s="38" t="s">
        <v>54</v>
      </c>
      <c r="C5" s="39" t="s">
        <v>235</v>
      </c>
      <c r="D5" s="38" t="s">
        <v>69</v>
      </c>
      <c r="E5" s="40" t="s">
        <v>66</v>
      </c>
      <c r="F5" s="40" t="s">
        <v>86</v>
      </c>
      <c r="G5" s="41">
        <v>0.5</v>
      </c>
      <c r="H5" s="41">
        <v>0.5</v>
      </c>
      <c r="I5" s="41">
        <f t="shared" ref="I5:I44" si="0">H5-G5</f>
        <v>0</v>
      </c>
      <c r="J5" s="42"/>
      <c r="K5" s="43"/>
    </row>
    <row r="6" spans="1:11" ht="12.5" x14ac:dyDescent="0.25">
      <c r="A6" s="37">
        <v>45614</v>
      </c>
      <c r="B6" s="38" t="s">
        <v>54</v>
      </c>
      <c r="C6" s="39" t="s">
        <v>235</v>
      </c>
      <c r="D6" s="38" t="s">
        <v>70</v>
      </c>
      <c r="E6" s="40" t="s">
        <v>52</v>
      </c>
      <c r="F6" s="40" t="s">
        <v>86</v>
      </c>
      <c r="G6" s="41">
        <v>0.1</v>
      </c>
      <c r="H6" s="41">
        <v>0.5</v>
      </c>
      <c r="I6" s="41">
        <f t="shared" si="0"/>
        <v>0.4</v>
      </c>
      <c r="J6" s="42"/>
      <c r="K6" s="44" t="s">
        <v>83</v>
      </c>
    </row>
    <row r="7" spans="1:11" ht="12.5" x14ac:dyDescent="0.25">
      <c r="A7" s="37">
        <v>45614</v>
      </c>
      <c r="B7" s="38" t="s">
        <v>54</v>
      </c>
      <c r="C7" s="39" t="s">
        <v>235</v>
      </c>
      <c r="D7" s="38" t="s">
        <v>71</v>
      </c>
      <c r="E7" s="40" t="s">
        <v>49</v>
      </c>
      <c r="F7" s="40" t="s">
        <v>88</v>
      </c>
      <c r="G7" s="41">
        <v>1</v>
      </c>
      <c r="H7" s="41">
        <v>1</v>
      </c>
      <c r="I7" s="41">
        <f t="shared" si="0"/>
        <v>0</v>
      </c>
      <c r="J7" s="42"/>
      <c r="K7" s="44"/>
    </row>
    <row r="8" spans="1:11" ht="12.5" x14ac:dyDescent="0.25">
      <c r="A8" s="37">
        <v>45614</v>
      </c>
      <c r="B8" s="38" t="s">
        <v>54</v>
      </c>
      <c r="C8" s="39" t="s">
        <v>236</v>
      </c>
      <c r="D8" s="38" t="s">
        <v>72</v>
      </c>
      <c r="E8" s="40" t="s">
        <v>66</v>
      </c>
      <c r="F8" s="40" t="s">
        <v>88</v>
      </c>
      <c r="G8" s="41">
        <v>1.5</v>
      </c>
      <c r="H8" s="41">
        <v>1</v>
      </c>
      <c r="I8" s="41">
        <f t="shared" si="0"/>
        <v>-0.5</v>
      </c>
      <c r="J8" s="53" t="s">
        <v>381</v>
      </c>
      <c r="K8" s="44"/>
    </row>
    <row r="9" spans="1:11" ht="12.5" x14ac:dyDescent="0.25">
      <c r="A9" s="37">
        <v>45614</v>
      </c>
      <c r="B9" s="38" t="s">
        <v>54</v>
      </c>
      <c r="C9" s="39" t="s">
        <v>236</v>
      </c>
      <c r="D9" s="38" t="s">
        <v>73</v>
      </c>
      <c r="E9" s="40" t="s">
        <v>66</v>
      </c>
      <c r="F9" s="40" t="s">
        <v>88</v>
      </c>
      <c r="G9" s="41">
        <v>4</v>
      </c>
      <c r="H9" s="41">
        <v>4</v>
      </c>
      <c r="I9" s="41">
        <f t="shared" si="0"/>
        <v>0</v>
      </c>
      <c r="J9" s="42"/>
      <c r="K9" s="44"/>
    </row>
    <row r="10" spans="1:11" ht="12.5" x14ac:dyDescent="0.25">
      <c r="A10" s="37">
        <v>45614</v>
      </c>
      <c r="B10" s="38" t="s">
        <v>48</v>
      </c>
      <c r="C10" s="39" t="s">
        <v>236</v>
      </c>
      <c r="D10" s="38" t="s">
        <v>74</v>
      </c>
      <c r="E10" s="40" t="s">
        <v>49</v>
      </c>
      <c r="F10" s="40" t="s">
        <v>88</v>
      </c>
      <c r="G10" s="41">
        <v>1</v>
      </c>
      <c r="H10" s="41">
        <v>0.5</v>
      </c>
      <c r="I10" s="41">
        <f t="shared" si="0"/>
        <v>-0.5</v>
      </c>
      <c r="J10" s="45"/>
      <c r="K10" s="44" t="s">
        <v>84</v>
      </c>
    </row>
    <row r="11" spans="1:11" ht="12.5" x14ac:dyDescent="0.25">
      <c r="A11" s="37">
        <v>45614</v>
      </c>
      <c r="B11" s="38" t="s">
        <v>54</v>
      </c>
      <c r="C11" s="39" t="s">
        <v>236</v>
      </c>
      <c r="D11" s="38" t="s">
        <v>75</v>
      </c>
      <c r="E11" s="40" t="s">
        <v>49</v>
      </c>
      <c r="F11" s="40" t="s">
        <v>88</v>
      </c>
      <c r="G11" s="41">
        <v>1</v>
      </c>
      <c r="H11" s="41">
        <v>1</v>
      </c>
      <c r="I11" s="41">
        <f t="shared" si="0"/>
        <v>0</v>
      </c>
      <c r="J11" s="45"/>
      <c r="K11" s="44" t="s">
        <v>85</v>
      </c>
    </row>
    <row r="12" spans="1:11" ht="12.5" x14ac:dyDescent="0.25">
      <c r="A12" s="37">
        <v>45615</v>
      </c>
      <c r="B12" s="38" t="s">
        <v>54</v>
      </c>
      <c r="C12" s="39" t="s">
        <v>235</v>
      </c>
      <c r="D12" s="38" t="s">
        <v>76</v>
      </c>
      <c r="E12" s="40" t="s">
        <v>65</v>
      </c>
      <c r="F12" s="40" t="s">
        <v>86</v>
      </c>
      <c r="G12" s="41">
        <v>1.5</v>
      </c>
      <c r="H12" s="41">
        <v>1.25</v>
      </c>
      <c r="I12" s="41">
        <f t="shared" si="0"/>
        <v>-0.25</v>
      </c>
      <c r="J12" s="53" t="s">
        <v>377</v>
      </c>
      <c r="K12" s="44"/>
    </row>
    <row r="13" spans="1:11" ht="12.5" x14ac:dyDescent="0.25">
      <c r="A13" s="37">
        <v>45615</v>
      </c>
      <c r="B13" s="38" t="s">
        <v>54</v>
      </c>
      <c r="C13" s="39" t="s">
        <v>77</v>
      </c>
      <c r="D13" s="38" t="s">
        <v>237</v>
      </c>
      <c r="E13" s="40" t="s">
        <v>46</v>
      </c>
      <c r="F13" s="40" t="s">
        <v>87</v>
      </c>
      <c r="G13" s="41">
        <v>0.25</v>
      </c>
      <c r="H13" s="41">
        <v>0.25</v>
      </c>
      <c r="I13" s="41">
        <f t="shared" si="0"/>
        <v>0</v>
      </c>
      <c r="J13" s="45"/>
      <c r="K13" s="44"/>
    </row>
    <row r="14" spans="1:11" ht="12.5" x14ac:dyDescent="0.25">
      <c r="A14" s="37">
        <v>45615</v>
      </c>
      <c r="B14" s="38" t="s">
        <v>54</v>
      </c>
      <c r="C14" s="39" t="s">
        <v>235</v>
      </c>
      <c r="D14" s="38" t="s">
        <v>78</v>
      </c>
      <c r="E14" s="40" t="s">
        <v>66</v>
      </c>
      <c r="F14" s="40" t="s">
        <v>86</v>
      </c>
      <c r="G14" s="41">
        <v>0.25</v>
      </c>
      <c r="H14" s="41">
        <v>0.25</v>
      </c>
      <c r="I14" s="41">
        <f t="shared" si="0"/>
        <v>0</v>
      </c>
      <c r="J14" s="53" t="s">
        <v>367</v>
      </c>
      <c r="K14" s="44"/>
    </row>
    <row r="15" spans="1:11" ht="12.5" x14ac:dyDescent="0.25">
      <c r="A15" s="37">
        <v>45615</v>
      </c>
      <c r="B15" s="38" t="s">
        <v>54</v>
      </c>
      <c r="C15" s="39" t="s">
        <v>79</v>
      </c>
      <c r="D15" s="38" t="s">
        <v>238</v>
      </c>
      <c r="E15" s="40" t="s">
        <v>63</v>
      </c>
      <c r="F15" s="40" t="s">
        <v>86</v>
      </c>
      <c r="G15" s="41">
        <v>0.25</v>
      </c>
      <c r="H15" s="41">
        <v>0.25</v>
      </c>
      <c r="I15" s="41">
        <f t="shared" si="0"/>
        <v>0</v>
      </c>
      <c r="J15" s="45"/>
      <c r="K15" s="44" t="s">
        <v>365</v>
      </c>
    </row>
    <row r="16" spans="1:11" ht="12.5" x14ac:dyDescent="0.25">
      <c r="A16" s="37">
        <v>45615</v>
      </c>
      <c r="B16" s="38" t="s">
        <v>54</v>
      </c>
      <c r="C16" s="39" t="s">
        <v>235</v>
      </c>
      <c r="D16" s="38" t="s">
        <v>80</v>
      </c>
      <c r="E16" s="40" t="s">
        <v>63</v>
      </c>
      <c r="F16" s="40" t="s">
        <v>86</v>
      </c>
      <c r="G16" s="41">
        <v>0.25</v>
      </c>
      <c r="H16" s="41">
        <v>0.25</v>
      </c>
      <c r="I16" s="41">
        <f t="shared" si="0"/>
        <v>0</v>
      </c>
      <c r="J16" s="53" t="s">
        <v>366</v>
      </c>
      <c r="K16" s="44"/>
    </row>
    <row r="17" spans="1:11" ht="12.5" x14ac:dyDescent="0.25">
      <c r="A17" s="37">
        <v>45615</v>
      </c>
      <c r="B17" s="38" t="s">
        <v>54</v>
      </c>
      <c r="C17" s="39" t="s">
        <v>235</v>
      </c>
      <c r="D17" s="38" t="s">
        <v>81</v>
      </c>
      <c r="E17" s="40" t="s">
        <v>61</v>
      </c>
      <c r="F17" s="40" t="s">
        <v>87</v>
      </c>
      <c r="G17" s="41">
        <v>0.5</v>
      </c>
      <c r="H17" s="41">
        <v>0.75</v>
      </c>
      <c r="I17" s="41">
        <f t="shared" si="0"/>
        <v>0.25</v>
      </c>
      <c r="J17" s="45"/>
      <c r="K17" s="44" t="s">
        <v>368</v>
      </c>
    </row>
    <row r="18" spans="1:11" ht="12.5" x14ac:dyDescent="0.25">
      <c r="A18" s="37">
        <v>45615</v>
      </c>
      <c r="B18" s="38" t="s">
        <v>54</v>
      </c>
      <c r="C18" s="39" t="s">
        <v>235</v>
      </c>
      <c r="D18" s="38" t="s">
        <v>82</v>
      </c>
      <c r="E18" s="40" t="s">
        <v>63</v>
      </c>
      <c r="F18" s="40" t="s">
        <v>86</v>
      </c>
      <c r="G18" s="41">
        <v>0.25</v>
      </c>
      <c r="H18" s="41">
        <v>0.25</v>
      </c>
      <c r="I18" s="41">
        <f t="shared" si="0"/>
        <v>0</v>
      </c>
      <c r="J18" s="45"/>
      <c r="K18" s="44" t="s">
        <v>365</v>
      </c>
    </row>
    <row r="19" spans="1:11" ht="12.5" x14ac:dyDescent="0.25">
      <c r="A19" s="37">
        <v>45615</v>
      </c>
      <c r="B19" s="38" t="s">
        <v>54</v>
      </c>
      <c r="C19" s="39" t="s">
        <v>235</v>
      </c>
      <c r="D19" s="38" t="s">
        <v>89</v>
      </c>
      <c r="E19" s="40" t="s">
        <v>49</v>
      </c>
      <c r="F19" s="40" t="s">
        <v>88</v>
      </c>
      <c r="G19" s="41">
        <v>0.25</v>
      </c>
      <c r="H19" s="41">
        <v>0.25</v>
      </c>
      <c r="I19" s="41">
        <f t="shared" si="0"/>
        <v>0</v>
      </c>
      <c r="J19" s="53" t="s">
        <v>364</v>
      </c>
      <c r="K19" s="44"/>
    </row>
    <row r="20" spans="1:11" ht="48" x14ac:dyDescent="0.25">
      <c r="A20" s="37">
        <v>45615</v>
      </c>
      <c r="B20" s="38" t="s">
        <v>48</v>
      </c>
      <c r="C20" s="39" t="s">
        <v>239</v>
      </c>
      <c r="D20" s="38" t="s">
        <v>90</v>
      </c>
      <c r="E20" s="40" t="s">
        <v>64</v>
      </c>
      <c r="F20" s="40" t="s">
        <v>86</v>
      </c>
      <c r="G20" s="41">
        <v>0.5</v>
      </c>
      <c r="H20" s="41">
        <v>0.5</v>
      </c>
      <c r="I20" s="41">
        <f t="shared" si="0"/>
        <v>0</v>
      </c>
      <c r="J20" s="45"/>
      <c r="K20" s="44" t="s">
        <v>91</v>
      </c>
    </row>
    <row r="21" spans="1:11" ht="12.5" x14ac:dyDescent="0.25">
      <c r="A21" s="37">
        <v>45615</v>
      </c>
      <c r="B21" s="38" t="s">
        <v>54</v>
      </c>
      <c r="C21" s="39" t="s">
        <v>227</v>
      </c>
      <c r="D21" s="38" t="s">
        <v>369</v>
      </c>
      <c r="E21" s="40" t="s">
        <v>49</v>
      </c>
      <c r="F21" s="40" t="s">
        <v>88</v>
      </c>
      <c r="G21" s="41">
        <v>3</v>
      </c>
      <c r="H21" s="41">
        <v>3</v>
      </c>
      <c r="I21" s="41">
        <f t="shared" si="0"/>
        <v>0</v>
      </c>
      <c r="J21" s="53" t="s">
        <v>383</v>
      </c>
      <c r="K21" s="44"/>
    </row>
    <row r="22" spans="1:11" ht="12.5" x14ac:dyDescent="0.25">
      <c r="A22" s="37">
        <v>45615</v>
      </c>
      <c r="B22" s="38" t="s">
        <v>54</v>
      </c>
      <c r="C22" s="39" t="s">
        <v>235</v>
      </c>
      <c r="D22" s="38" t="s">
        <v>92</v>
      </c>
      <c r="E22" s="40" t="s">
        <v>63</v>
      </c>
      <c r="F22" s="40" t="s">
        <v>86</v>
      </c>
      <c r="G22" s="41">
        <v>0.5</v>
      </c>
      <c r="H22" s="41">
        <v>0.5</v>
      </c>
      <c r="I22" s="41">
        <f t="shared" si="0"/>
        <v>0</v>
      </c>
      <c r="J22" s="45"/>
      <c r="K22" s="44"/>
    </row>
    <row r="23" spans="1:11" ht="12.5" x14ac:dyDescent="0.25">
      <c r="A23" s="37">
        <v>45617</v>
      </c>
      <c r="B23" s="38" t="s">
        <v>54</v>
      </c>
      <c r="C23" s="39" t="s">
        <v>79</v>
      </c>
      <c r="D23" s="38" t="s">
        <v>242</v>
      </c>
      <c r="E23" s="40" t="s">
        <v>61</v>
      </c>
      <c r="F23" s="40" t="s">
        <v>86</v>
      </c>
      <c r="G23" s="41">
        <v>0.25</v>
      </c>
      <c r="H23" s="41">
        <v>0.25</v>
      </c>
      <c r="I23" s="41">
        <f t="shared" si="0"/>
        <v>0</v>
      </c>
      <c r="J23" s="45"/>
      <c r="K23" s="44" t="s">
        <v>365</v>
      </c>
    </row>
    <row r="24" spans="1:11" ht="12.5" x14ac:dyDescent="0.25">
      <c r="A24" s="37">
        <v>45617</v>
      </c>
      <c r="B24" s="38" t="s">
        <v>54</v>
      </c>
      <c r="C24" s="39" t="s">
        <v>240</v>
      </c>
      <c r="D24" s="38" t="s">
        <v>94</v>
      </c>
      <c r="E24" s="40" t="s">
        <v>66</v>
      </c>
      <c r="F24" s="40" t="s">
        <v>104</v>
      </c>
      <c r="G24" s="41">
        <v>1</v>
      </c>
      <c r="H24" s="41">
        <v>1</v>
      </c>
      <c r="I24" s="41">
        <f t="shared" si="0"/>
        <v>0</v>
      </c>
      <c r="J24" s="53" t="s">
        <v>370</v>
      </c>
      <c r="K24" s="44"/>
    </row>
    <row r="25" spans="1:11" ht="12.5" x14ac:dyDescent="0.25">
      <c r="A25" s="37">
        <v>45617</v>
      </c>
      <c r="B25" s="38" t="s">
        <v>54</v>
      </c>
      <c r="C25" s="39" t="s">
        <v>240</v>
      </c>
      <c r="D25" s="38" t="s">
        <v>93</v>
      </c>
      <c r="E25" s="40" t="s">
        <v>66</v>
      </c>
      <c r="F25" s="40" t="s">
        <v>104</v>
      </c>
      <c r="G25" s="41">
        <v>1</v>
      </c>
      <c r="H25" s="41">
        <v>1</v>
      </c>
      <c r="I25" s="41">
        <f t="shared" si="0"/>
        <v>0</v>
      </c>
      <c r="J25" s="53" t="s">
        <v>370</v>
      </c>
      <c r="K25" s="44"/>
    </row>
    <row r="26" spans="1:11" ht="12.5" x14ac:dyDescent="0.25">
      <c r="A26" s="37">
        <v>45617</v>
      </c>
      <c r="B26" s="38" t="s">
        <v>54</v>
      </c>
      <c r="C26" s="39" t="s">
        <v>240</v>
      </c>
      <c r="D26" s="38" t="s">
        <v>95</v>
      </c>
      <c r="E26" s="40" t="s">
        <v>66</v>
      </c>
      <c r="F26" s="40" t="s">
        <v>104</v>
      </c>
      <c r="G26" s="41">
        <v>2</v>
      </c>
      <c r="H26" s="41">
        <v>2</v>
      </c>
      <c r="I26" s="41">
        <f t="shared" si="0"/>
        <v>0</v>
      </c>
      <c r="J26" s="53" t="s">
        <v>370</v>
      </c>
      <c r="K26" s="44"/>
    </row>
    <row r="27" spans="1:11" ht="12.5" x14ac:dyDescent="0.25">
      <c r="A27" s="37">
        <v>45617</v>
      </c>
      <c r="B27" s="38" t="s">
        <v>54</v>
      </c>
      <c r="C27" s="39" t="s">
        <v>240</v>
      </c>
      <c r="D27" s="38" t="s">
        <v>96</v>
      </c>
      <c r="E27" s="40" t="s">
        <v>66</v>
      </c>
      <c r="F27" s="40" t="s">
        <v>104</v>
      </c>
      <c r="G27" s="41">
        <v>2</v>
      </c>
      <c r="H27" s="41">
        <v>2</v>
      </c>
      <c r="I27" s="41">
        <f t="shared" si="0"/>
        <v>0</v>
      </c>
      <c r="J27" s="53" t="s">
        <v>370</v>
      </c>
      <c r="K27" s="44"/>
    </row>
    <row r="28" spans="1:11" ht="12.5" x14ac:dyDescent="0.25">
      <c r="A28" s="37">
        <v>45617</v>
      </c>
      <c r="B28" s="38" t="s">
        <v>54</v>
      </c>
      <c r="C28" s="39" t="s">
        <v>240</v>
      </c>
      <c r="D28" s="38" t="s">
        <v>97</v>
      </c>
      <c r="E28" s="40" t="s">
        <v>66</v>
      </c>
      <c r="F28" s="40" t="s">
        <v>104</v>
      </c>
      <c r="G28" s="41">
        <v>1</v>
      </c>
      <c r="H28" s="41">
        <v>1</v>
      </c>
      <c r="I28" s="41">
        <f t="shared" si="0"/>
        <v>0</v>
      </c>
      <c r="J28" s="53" t="s">
        <v>370</v>
      </c>
      <c r="K28" s="44"/>
    </row>
    <row r="29" spans="1:11" ht="12.5" x14ac:dyDescent="0.25">
      <c r="A29" s="37">
        <v>45617</v>
      </c>
      <c r="B29" s="38" t="s">
        <v>54</v>
      </c>
      <c r="C29" s="39" t="s">
        <v>240</v>
      </c>
      <c r="D29" s="38" t="s">
        <v>98</v>
      </c>
      <c r="E29" s="40" t="s">
        <v>55</v>
      </c>
      <c r="F29" s="40" t="s">
        <v>104</v>
      </c>
      <c r="G29" s="41">
        <v>1</v>
      </c>
      <c r="H29" s="41">
        <v>0.5</v>
      </c>
      <c r="I29" s="41">
        <f t="shared" si="0"/>
        <v>-0.5</v>
      </c>
      <c r="J29" s="53" t="s">
        <v>105</v>
      </c>
      <c r="K29" s="44" t="s">
        <v>372</v>
      </c>
    </row>
    <row r="30" spans="1:11" ht="12.5" x14ac:dyDescent="0.25">
      <c r="A30" s="37">
        <v>45617</v>
      </c>
      <c r="B30" s="38" t="s">
        <v>54</v>
      </c>
      <c r="C30" s="39" t="s">
        <v>63</v>
      </c>
      <c r="D30" s="38" t="s">
        <v>106</v>
      </c>
      <c r="E30" s="40" t="s">
        <v>63</v>
      </c>
      <c r="F30" s="40" t="s">
        <v>86</v>
      </c>
      <c r="G30" s="41">
        <v>0.5</v>
      </c>
      <c r="H30" s="41">
        <v>0.5</v>
      </c>
      <c r="I30" s="41">
        <f t="shared" si="0"/>
        <v>0</v>
      </c>
      <c r="J30" s="53" t="s">
        <v>366</v>
      </c>
      <c r="K30" s="44"/>
    </row>
    <row r="31" spans="1:11" ht="12.5" x14ac:dyDescent="0.25">
      <c r="A31" s="37">
        <v>45618</v>
      </c>
      <c r="B31" s="38" t="s">
        <v>54</v>
      </c>
      <c r="C31" s="39" t="s">
        <v>79</v>
      </c>
      <c r="D31" s="38" t="s">
        <v>241</v>
      </c>
      <c r="E31" s="40" t="s">
        <v>61</v>
      </c>
      <c r="F31" s="40" t="s">
        <v>86</v>
      </c>
      <c r="G31" s="41">
        <v>0.25</v>
      </c>
      <c r="H31" s="41">
        <v>0.25</v>
      </c>
      <c r="I31" s="41">
        <f t="shared" si="0"/>
        <v>0</v>
      </c>
      <c r="J31" s="45"/>
      <c r="K31" s="44" t="s">
        <v>365</v>
      </c>
    </row>
    <row r="32" spans="1:11" ht="12.5" x14ac:dyDescent="0.25">
      <c r="A32" s="37">
        <v>45618</v>
      </c>
      <c r="B32" s="38" t="s">
        <v>54</v>
      </c>
      <c r="C32" s="39" t="s">
        <v>77</v>
      </c>
      <c r="D32" s="38" t="s">
        <v>243</v>
      </c>
      <c r="E32" s="40" t="s">
        <v>46</v>
      </c>
      <c r="F32" s="40" t="s">
        <v>86</v>
      </c>
      <c r="G32" s="41">
        <v>0.25</v>
      </c>
      <c r="H32" s="41">
        <v>0.25</v>
      </c>
      <c r="I32" s="41">
        <f t="shared" si="0"/>
        <v>0</v>
      </c>
      <c r="J32" s="45"/>
      <c r="K32" s="44"/>
    </row>
    <row r="33" spans="1:11" ht="12.5" x14ac:dyDescent="0.25">
      <c r="A33" s="37">
        <v>45618</v>
      </c>
      <c r="B33" s="38" t="s">
        <v>54</v>
      </c>
      <c r="C33" s="39" t="s">
        <v>244</v>
      </c>
      <c r="D33" s="38" t="s">
        <v>108</v>
      </c>
      <c r="E33" s="40" t="s">
        <v>46</v>
      </c>
      <c r="F33" s="40" t="s">
        <v>104</v>
      </c>
      <c r="G33" s="41">
        <v>1</v>
      </c>
      <c r="H33" s="41">
        <v>1</v>
      </c>
      <c r="I33" s="41">
        <f t="shared" si="0"/>
        <v>0</v>
      </c>
      <c r="J33" s="45"/>
      <c r="K33" s="44"/>
    </row>
    <row r="34" spans="1:11" ht="12.5" x14ac:dyDescent="0.25">
      <c r="A34" s="37">
        <v>45618</v>
      </c>
      <c r="B34" s="38" t="s">
        <v>54</v>
      </c>
      <c r="C34" s="39" t="s">
        <v>244</v>
      </c>
      <c r="D34" s="38" t="s">
        <v>99</v>
      </c>
      <c r="E34" s="40" t="s">
        <v>66</v>
      </c>
      <c r="F34" s="40" t="s">
        <v>104</v>
      </c>
      <c r="G34" s="41">
        <v>0.5</v>
      </c>
      <c r="H34" s="41">
        <v>0.5</v>
      </c>
      <c r="I34" s="41">
        <f t="shared" si="0"/>
        <v>0</v>
      </c>
      <c r="J34" s="45"/>
      <c r="K34" s="44"/>
    </row>
    <row r="35" spans="1:11" ht="12.5" x14ac:dyDescent="0.25">
      <c r="A35" s="37">
        <v>45618</v>
      </c>
      <c r="B35" s="38" t="s">
        <v>54</v>
      </c>
      <c r="C35" s="39" t="s">
        <v>244</v>
      </c>
      <c r="D35" s="38" t="s">
        <v>100</v>
      </c>
      <c r="E35" s="40" t="s">
        <v>49</v>
      </c>
      <c r="F35" s="40" t="s">
        <v>104</v>
      </c>
      <c r="G35" s="41">
        <v>1</v>
      </c>
      <c r="H35" s="41">
        <v>1</v>
      </c>
      <c r="I35" s="41">
        <f t="shared" si="0"/>
        <v>0</v>
      </c>
      <c r="J35" s="45"/>
      <c r="K35" s="44"/>
    </row>
    <row r="36" spans="1:11" ht="12.5" x14ac:dyDescent="0.25">
      <c r="A36" s="37">
        <v>45618</v>
      </c>
      <c r="B36" s="38" t="s">
        <v>48</v>
      </c>
      <c r="C36" s="39" t="s">
        <v>244</v>
      </c>
      <c r="D36" s="38" t="s">
        <v>109</v>
      </c>
      <c r="E36" s="40" t="s">
        <v>52</v>
      </c>
      <c r="F36" s="40" t="s">
        <v>104</v>
      </c>
      <c r="G36" s="41">
        <v>0.5</v>
      </c>
      <c r="H36" s="41">
        <v>0.5</v>
      </c>
      <c r="I36" s="41">
        <f t="shared" si="0"/>
        <v>0</v>
      </c>
      <c r="J36" s="45"/>
      <c r="K36" s="44" t="s">
        <v>111</v>
      </c>
    </row>
    <row r="37" spans="1:11" ht="12.5" x14ac:dyDescent="0.25">
      <c r="A37" s="37">
        <v>45618</v>
      </c>
      <c r="B37" s="38" t="s">
        <v>54</v>
      </c>
      <c r="C37" s="39" t="s">
        <v>244</v>
      </c>
      <c r="D37" s="38" t="s">
        <v>110</v>
      </c>
      <c r="E37" s="40" t="s">
        <v>49</v>
      </c>
      <c r="F37" s="40" t="s">
        <v>104</v>
      </c>
      <c r="G37" s="41">
        <v>1</v>
      </c>
      <c r="H37" s="41">
        <v>1</v>
      </c>
      <c r="I37" s="41">
        <f t="shared" si="0"/>
        <v>0</v>
      </c>
      <c r="J37" s="45"/>
      <c r="K37" s="44"/>
    </row>
    <row r="38" spans="1:11" ht="12.5" x14ac:dyDescent="0.25">
      <c r="A38" s="37">
        <v>45618</v>
      </c>
      <c r="B38" s="38" t="s">
        <v>54</v>
      </c>
      <c r="C38" s="39" t="s">
        <v>244</v>
      </c>
      <c r="D38" s="38" t="s">
        <v>101</v>
      </c>
      <c r="E38" s="40" t="s">
        <v>49</v>
      </c>
      <c r="F38" s="40" t="s">
        <v>104</v>
      </c>
      <c r="G38" s="41">
        <v>1</v>
      </c>
      <c r="H38" s="41">
        <v>1</v>
      </c>
      <c r="I38" s="41">
        <f t="shared" si="0"/>
        <v>0</v>
      </c>
      <c r="J38" s="53" t="s">
        <v>371</v>
      </c>
      <c r="K38" s="44"/>
    </row>
    <row r="39" spans="1:11" ht="12.5" x14ac:dyDescent="0.25">
      <c r="A39" s="37">
        <v>45618</v>
      </c>
      <c r="B39" s="38" t="s">
        <v>60</v>
      </c>
      <c r="C39" s="39" t="s">
        <v>244</v>
      </c>
      <c r="D39" s="38" t="s">
        <v>112</v>
      </c>
      <c r="E39" s="40" t="s">
        <v>49</v>
      </c>
      <c r="F39" s="40" t="s">
        <v>104</v>
      </c>
      <c r="G39" s="41">
        <v>1</v>
      </c>
      <c r="H39" s="41">
        <v>1</v>
      </c>
      <c r="I39" s="41">
        <f t="shared" si="0"/>
        <v>0</v>
      </c>
      <c r="J39" s="53" t="s">
        <v>375</v>
      </c>
      <c r="K39" s="44" t="s">
        <v>139</v>
      </c>
    </row>
    <row r="40" spans="1:11" ht="12.5" x14ac:dyDescent="0.25">
      <c r="A40" s="37">
        <v>45618</v>
      </c>
      <c r="B40" s="38" t="s">
        <v>54</v>
      </c>
      <c r="C40" s="39" t="s">
        <v>244</v>
      </c>
      <c r="D40" s="38" t="s">
        <v>103</v>
      </c>
      <c r="E40" s="40" t="s">
        <v>49</v>
      </c>
      <c r="F40" s="40" t="s">
        <v>104</v>
      </c>
      <c r="G40" s="41">
        <v>4</v>
      </c>
      <c r="H40" s="41">
        <v>4</v>
      </c>
      <c r="I40" s="41">
        <f t="shared" si="0"/>
        <v>0</v>
      </c>
      <c r="J40" s="53" t="s">
        <v>371</v>
      </c>
      <c r="K40" s="44"/>
    </row>
    <row r="41" spans="1:11" ht="12.5" x14ac:dyDescent="0.25">
      <c r="A41" s="37">
        <v>45618</v>
      </c>
      <c r="B41" s="38" t="s">
        <v>54</v>
      </c>
      <c r="C41" s="39" t="s">
        <v>79</v>
      </c>
      <c r="D41" s="38" t="s">
        <v>107</v>
      </c>
      <c r="E41" s="40" t="s">
        <v>63</v>
      </c>
      <c r="F41" s="40" t="s">
        <v>86</v>
      </c>
      <c r="G41" s="41">
        <v>0.5</v>
      </c>
      <c r="H41" s="41">
        <v>0.5</v>
      </c>
      <c r="I41" s="41">
        <f t="shared" si="0"/>
        <v>0</v>
      </c>
      <c r="J41" s="45"/>
      <c r="K41" s="44" t="s">
        <v>365</v>
      </c>
    </row>
    <row r="42" spans="1:11" ht="12.5" x14ac:dyDescent="0.25">
      <c r="A42" s="37">
        <v>45618</v>
      </c>
      <c r="B42" s="38" t="s">
        <v>54</v>
      </c>
      <c r="C42" s="39" t="s">
        <v>197</v>
      </c>
      <c r="D42" s="38" t="s">
        <v>102</v>
      </c>
      <c r="E42" s="40" t="s">
        <v>63</v>
      </c>
      <c r="F42" s="40" t="s">
        <v>87</v>
      </c>
      <c r="G42" s="41">
        <v>0.5</v>
      </c>
      <c r="H42" s="41">
        <v>0.5</v>
      </c>
      <c r="I42" s="41">
        <f t="shared" si="0"/>
        <v>0</v>
      </c>
      <c r="J42" s="45"/>
      <c r="K42" s="44"/>
    </row>
    <row r="43" spans="1:11" ht="12.5" x14ac:dyDescent="0.25">
      <c r="A43" s="37">
        <v>45618</v>
      </c>
      <c r="B43" s="38" t="s">
        <v>54</v>
      </c>
      <c r="C43" s="39" t="s">
        <v>197</v>
      </c>
      <c r="D43" s="38" t="s">
        <v>140</v>
      </c>
      <c r="E43" s="40" t="s">
        <v>63</v>
      </c>
      <c r="F43" s="40" t="s">
        <v>87</v>
      </c>
      <c r="G43" s="41">
        <v>0.5</v>
      </c>
      <c r="H43" s="41">
        <v>0.15</v>
      </c>
      <c r="I43" s="41">
        <f t="shared" si="0"/>
        <v>-0.35</v>
      </c>
      <c r="J43" s="45"/>
      <c r="K43" s="44" t="s">
        <v>365</v>
      </c>
    </row>
    <row r="44" spans="1:11" ht="12.5" x14ac:dyDescent="0.25">
      <c r="A44" s="13"/>
      <c r="B44" s="15"/>
      <c r="C44" s="15"/>
      <c r="D44" s="15"/>
      <c r="E44" s="15" t="s">
        <v>18</v>
      </c>
      <c r="F44" s="15"/>
      <c r="G44" s="18">
        <f>SUM(G5:G43)</f>
        <v>37.35</v>
      </c>
      <c r="H44" s="18">
        <f>SUM(H5:H43)</f>
        <v>35.9</v>
      </c>
      <c r="I44" s="18">
        <f t="shared" si="0"/>
        <v>-1.4500000000000028</v>
      </c>
      <c r="J44" s="19"/>
      <c r="K44" s="46"/>
    </row>
    <row r="45" spans="1:11" ht="18.75" customHeight="1" x14ac:dyDescent="0.25">
      <c r="A45" s="66" t="s">
        <v>19</v>
      </c>
      <c r="B45" s="61"/>
      <c r="C45" s="61"/>
      <c r="D45" s="61"/>
      <c r="E45" s="61"/>
      <c r="F45" s="61"/>
      <c r="G45" s="61"/>
      <c r="H45" s="61"/>
      <c r="I45" s="61"/>
      <c r="J45" s="61"/>
      <c r="K45" s="62"/>
    </row>
    <row r="46" spans="1:11" ht="12.5" x14ac:dyDescent="0.25">
      <c r="A46" s="31" t="s">
        <v>12</v>
      </c>
      <c r="B46" s="67" t="s">
        <v>13</v>
      </c>
      <c r="C46" s="64"/>
      <c r="D46" s="64"/>
      <c r="E46" s="64"/>
      <c r="F46" s="64"/>
      <c r="G46" s="64"/>
      <c r="H46" s="64"/>
      <c r="I46" s="64"/>
      <c r="J46" s="64"/>
      <c r="K46" s="65"/>
    </row>
    <row r="47" spans="1:11" ht="27.75" customHeight="1" x14ac:dyDescent="0.25">
      <c r="A47" s="20" t="s">
        <v>14</v>
      </c>
      <c r="B47" s="67" t="s">
        <v>20</v>
      </c>
      <c r="C47" s="64"/>
      <c r="D47" s="64"/>
      <c r="E47" s="64"/>
      <c r="F47" s="64"/>
      <c r="G47" s="64"/>
      <c r="H47" s="64"/>
      <c r="I47" s="64"/>
      <c r="J47" s="64"/>
      <c r="K47" s="65"/>
    </row>
    <row r="48" spans="1:11" ht="12.5" x14ac:dyDescent="0.25">
      <c r="A48" s="47">
        <v>45621</v>
      </c>
      <c r="B48" s="38" t="s">
        <v>54</v>
      </c>
      <c r="C48" s="39" t="s">
        <v>79</v>
      </c>
      <c r="D48" s="38" t="s">
        <v>245</v>
      </c>
      <c r="E48" s="40" t="s">
        <v>63</v>
      </c>
      <c r="F48" s="40" t="s">
        <v>86</v>
      </c>
      <c r="G48" s="41">
        <v>0.5</v>
      </c>
      <c r="H48" s="41">
        <v>0.5</v>
      </c>
      <c r="I48" s="41">
        <f t="shared" ref="I48:I79" si="1">H48-G48</f>
        <v>0</v>
      </c>
      <c r="J48" s="45"/>
      <c r="K48" s="43" t="s">
        <v>365</v>
      </c>
    </row>
    <row r="49" spans="1:11" ht="12.5" x14ac:dyDescent="0.25">
      <c r="A49" s="47">
        <v>45621</v>
      </c>
      <c r="B49" s="38" t="s">
        <v>54</v>
      </c>
      <c r="C49" s="39" t="s">
        <v>246</v>
      </c>
      <c r="D49" s="38" t="s">
        <v>113</v>
      </c>
      <c r="E49" s="40" t="s">
        <v>66</v>
      </c>
      <c r="F49" s="40" t="s">
        <v>104</v>
      </c>
      <c r="G49" s="41">
        <v>1</v>
      </c>
      <c r="H49" s="41">
        <v>1</v>
      </c>
      <c r="I49" s="41">
        <f t="shared" si="1"/>
        <v>0</v>
      </c>
      <c r="J49" s="53" t="s">
        <v>370</v>
      </c>
      <c r="K49" s="43"/>
    </row>
    <row r="50" spans="1:11" ht="12.5" x14ac:dyDescent="0.25">
      <c r="A50" s="47">
        <v>45621</v>
      </c>
      <c r="B50" s="38" t="s">
        <v>54</v>
      </c>
      <c r="C50" s="39" t="s">
        <v>246</v>
      </c>
      <c r="D50" s="38" t="s">
        <v>114</v>
      </c>
      <c r="E50" s="40" t="s">
        <v>66</v>
      </c>
      <c r="F50" s="40" t="s">
        <v>104</v>
      </c>
      <c r="G50" s="41">
        <v>2</v>
      </c>
      <c r="H50" s="41">
        <v>2</v>
      </c>
      <c r="I50" s="41">
        <f t="shared" si="1"/>
        <v>0</v>
      </c>
      <c r="J50" s="53" t="s">
        <v>370</v>
      </c>
      <c r="K50" s="43"/>
    </row>
    <row r="51" spans="1:11" ht="12.5" x14ac:dyDescent="0.25">
      <c r="A51" s="47">
        <v>45621</v>
      </c>
      <c r="B51" s="38" t="s">
        <v>54</v>
      </c>
      <c r="C51" s="39" t="s">
        <v>246</v>
      </c>
      <c r="D51" s="38" t="s">
        <v>115</v>
      </c>
      <c r="E51" s="40" t="s">
        <v>66</v>
      </c>
      <c r="F51" s="40" t="s">
        <v>104</v>
      </c>
      <c r="G51" s="41">
        <v>2</v>
      </c>
      <c r="H51" s="41">
        <v>2</v>
      </c>
      <c r="I51" s="41">
        <f t="shared" si="1"/>
        <v>0</v>
      </c>
      <c r="J51" s="53" t="s">
        <v>370</v>
      </c>
      <c r="K51" s="43"/>
    </row>
    <row r="52" spans="1:11" ht="12.5" x14ac:dyDescent="0.25">
      <c r="A52" s="47">
        <v>45621</v>
      </c>
      <c r="B52" s="38" t="s">
        <v>54</v>
      </c>
      <c r="C52" s="39" t="s">
        <v>246</v>
      </c>
      <c r="D52" s="38" t="s">
        <v>116</v>
      </c>
      <c r="E52" s="40" t="s">
        <v>66</v>
      </c>
      <c r="F52" s="40" t="s">
        <v>104</v>
      </c>
      <c r="G52" s="41">
        <v>1.5</v>
      </c>
      <c r="H52" s="41">
        <v>1.5</v>
      </c>
      <c r="I52" s="41">
        <f t="shared" si="1"/>
        <v>0</v>
      </c>
      <c r="J52" s="53" t="s">
        <v>370</v>
      </c>
      <c r="K52" s="43"/>
    </row>
    <row r="53" spans="1:11" ht="12.5" x14ac:dyDescent="0.25">
      <c r="A53" s="47">
        <v>45621</v>
      </c>
      <c r="B53" s="38" t="s">
        <v>54</v>
      </c>
      <c r="C53" s="39" t="s">
        <v>246</v>
      </c>
      <c r="D53" s="38" t="s">
        <v>117</v>
      </c>
      <c r="E53" s="40" t="s">
        <v>66</v>
      </c>
      <c r="F53" s="40" t="s">
        <v>104</v>
      </c>
      <c r="G53" s="41">
        <v>1</v>
      </c>
      <c r="H53" s="41">
        <v>1</v>
      </c>
      <c r="I53" s="41">
        <f t="shared" si="1"/>
        <v>0</v>
      </c>
      <c r="J53" s="53" t="s">
        <v>370</v>
      </c>
      <c r="K53" s="43"/>
    </row>
    <row r="54" spans="1:11" ht="12.5" x14ac:dyDescent="0.25">
      <c r="A54" s="47">
        <v>45621</v>
      </c>
      <c r="B54" s="38" t="s">
        <v>54</v>
      </c>
      <c r="C54" s="39" t="s">
        <v>246</v>
      </c>
      <c r="D54" s="38" t="s">
        <v>118</v>
      </c>
      <c r="E54" s="40" t="s">
        <v>55</v>
      </c>
      <c r="F54" s="40" t="s">
        <v>104</v>
      </c>
      <c r="G54" s="41">
        <v>0.5</v>
      </c>
      <c r="H54" s="41">
        <v>0.5</v>
      </c>
      <c r="I54" s="41">
        <f t="shared" si="1"/>
        <v>0</v>
      </c>
      <c r="J54" s="53" t="s">
        <v>374</v>
      </c>
      <c r="K54" s="43"/>
    </row>
    <row r="55" spans="1:11" ht="12.5" x14ac:dyDescent="0.25">
      <c r="A55" s="47">
        <v>45622</v>
      </c>
      <c r="B55" s="38" t="s">
        <v>54</v>
      </c>
      <c r="C55" s="39" t="s">
        <v>197</v>
      </c>
      <c r="D55" s="38" t="s">
        <v>119</v>
      </c>
      <c r="E55" s="40" t="s">
        <v>61</v>
      </c>
      <c r="F55" s="40" t="s">
        <v>86</v>
      </c>
      <c r="G55" s="41">
        <v>0.5</v>
      </c>
      <c r="H55" s="41">
        <v>0.5</v>
      </c>
      <c r="I55" s="41">
        <f t="shared" si="1"/>
        <v>0</v>
      </c>
      <c r="J55" s="45"/>
      <c r="K55" s="43" t="s">
        <v>365</v>
      </c>
    </row>
    <row r="56" spans="1:11" ht="12.5" x14ac:dyDescent="0.25">
      <c r="A56" s="47">
        <v>45622</v>
      </c>
      <c r="B56" s="38" t="s">
        <v>54</v>
      </c>
      <c r="C56" s="39" t="s">
        <v>77</v>
      </c>
      <c r="D56" s="38" t="s">
        <v>120</v>
      </c>
      <c r="E56" s="40" t="s">
        <v>46</v>
      </c>
      <c r="F56" s="40" t="s">
        <v>87</v>
      </c>
      <c r="G56" s="41">
        <v>0.25</v>
      </c>
      <c r="H56" s="41">
        <v>0.25</v>
      </c>
      <c r="I56" s="41">
        <f t="shared" si="1"/>
        <v>0</v>
      </c>
      <c r="J56" s="45"/>
      <c r="K56" s="43"/>
    </row>
    <row r="57" spans="1:11" ht="12.5" x14ac:dyDescent="0.25">
      <c r="A57" s="47">
        <v>45622</v>
      </c>
      <c r="B57" s="38" t="s">
        <v>54</v>
      </c>
      <c r="C57" s="39" t="s">
        <v>236</v>
      </c>
      <c r="D57" s="38" t="s">
        <v>121</v>
      </c>
      <c r="E57" s="40" t="s">
        <v>49</v>
      </c>
      <c r="F57" s="40" t="s">
        <v>104</v>
      </c>
      <c r="G57" s="41">
        <v>0.5</v>
      </c>
      <c r="H57" s="41">
        <v>0.5</v>
      </c>
      <c r="I57" s="41">
        <f t="shared" si="1"/>
        <v>0</v>
      </c>
      <c r="J57" s="45"/>
      <c r="K57" s="43" t="s">
        <v>122</v>
      </c>
    </row>
    <row r="58" spans="1:11" ht="12.5" x14ac:dyDescent="0.25">
      <c r="A58" s="47">
        <v>45622</v>
      </c>
      <c r="B58" s="38" t="s">
        <v>54</v>
      </c>
      <c r="C58" s="39" t="s">
        <v>236</v>
      </c>
      <c r="D58" s="38" t="s">
        <v>123</v>
      </c>
      <c r="E58" s="40" t="s">
        <v>66</v>
      </c>
      <c r="F58" s="40" t="s">
        <v>104</v>
      </c>
      <c r="G58" s="41">
        <v>0.5</v>
      </c>
      <c r="H58" s="41">
        <v>0.5</v>
      </c>
      <c r="I58" s="41">
        <f t="shared" si="1"/>
        <v>0</v>
      </c>
      <c r="J58" s="53" t="s">
        <v>382</v>
      </c>
      <c r="K58" s="43"/>
    </row>
    <row r="59" spans="1:11" ht="12.5" x14ac:dyDescent="0.25">
      <c r="A59" s="47">
        <v>45622</v>
      </c>
      <c r="B59" s="38" t="s">
        <v>54</v>
      </c>
      <c r="C59" s="39" t="s">
        <v>236</v>
      </c>
      <c r="D59" s="38" t="s">
        <v>124</v>
      </c>
      <c r="E59" s="40" t="s">
        <v>66</v>
      </c>
      <c r="F59" s="40" t="s">
        <v>104</v>
      </c>
      <c r="G59" s="41">
        <v>0.5</v>
      </c>
      <c r="H59" s="41">
        <v>2.35</v>
      </c>
      <c r="I59" s="41">
        <f t="shared" si="1"/>
        <v>1.85</v>
      </c>
      <c r="J59" s="45"/>
      <c r="K59" s="43" t="s">
        <v>129</v>
      </c>
    </row>
    <row r="60" spans="1:11" ht="12.5" x14ac:dyDescent="0.25">
      <c r="A60" s="47">
        <v>45622</v>
      </c>
      <c r="B60" s="38" t="s">
        <v>54</v>
      </c>
      <c r="C60" s="39" t="s">
        <v>236</v>
      </c>
      <c r="D60" s="38" t="s">
        <v>125</v>
      </c>
      <c r="E60" s="40" t="s">
        <v>49</v>
      </c>
      <c r="F60" s="40" t="s">
        <v>104</v>
      </c>
      <c r="G60" s="41">
        <v>0.1</v>
      </c>
      <c r="H60" s="41">
        <v>0.1</v>
      </c>
      <c r="I60" s="41">
        <f t="shared" si="1"/>
        <v>0</v>
      </c>
      <c r="J60" s="45"/>
      <c r="K60" s="43" t="s">
        <v>126</v>
      </c>
    </row>
    <row r="61" spans="1:11" ht="12.5" x14ac:dyDescent="0.25">
      <c r="A61" s="47">
        <v>45622</v>
      </c>
      <c r="B61" s="38" t="s">
        <v>45</v>
      </c>
      <c r="C61" s="39" t="s">
        <v>236</v>
      </c>
      <c r="D61" s="38" t="s">
        <v>127</v>
      </c>
      <c r="E61" s="40" t="s">
        <v>45</v>
      </c>
      <c r="F61" s="40" t="s">
        <v>104</v>
      </c>
      <c r="G61" s="41">
        <v>0</v>
      </c>
      <c r="H61" s="41">
        <v>0.1</v>
      </c>
      <c r="I61" s="41">
        <f t="shared" si="1"/>
        <v>0.1</v>
      </c>
      <c r="J61" s="45"/>
      <c r="K61" s="43" t="s">
        <v>128</v>
      </c>
    </row>
    <row r="62" spans="1:11" ht="12.5" x14ac:dyDescent="0.25">
      <c r="A62" s="47">
        <v>45622</v>
      </c>
      <c r="B62" s="38" t="s">
        <v>54</v>
      </c>
      <c r="C62" s="39" t="s">
        <v>236</v>
      </c>
      <c r="D62" s="38" t="s">
        <v>130</v>
      </c>
      <c r="E62" s="40" t="s">
        <v>49</v>
      </c>
      <c r="F62" s="40" t="s">
        <v>104</v>
      </c>
      <c r="G62" s="41">
        <v>4</v>
      </c>
      <c r="H62" s="41">
        <v>3.55</v>
      </c>
      <c r="I62" s="41">
        <f t="shared" si="1"/>
        <v>-0.45000000000000018</v>
      </c>
      <c r="J62" s="53" t="s">
        <v>371</v>
      </c>
      <c r="K62" s="43"/>
    </row>
    <row r="63" spans="1:11" ht="12.5" x14ac:dyDescent="0.25">
      <c r="A63" s="47">
        <v>45623</v>
      </c>
      <c r="B63" s="38" t="s">
        <v>54</v>
      </c>
      <c r="C63" s="39" t="s">
        <v>247</v>
      </c>
      <c r="D63" s="38" t="s">
        <v>143</v>
      </c>
      <c r="E63" s="40" t="s">
        <v>66</v>
      </c>
      <c r="F63" s="40" t="s">
        <v>104</v>
      </c>
      <c r="G63" s="41">
        <v>3</v>
      </c>
      <c r="H63" s="41">
        <v>3</v>
      </c>
      <c r="I63" s="41">
        <f t="shared" si="1"/>
        <v>0</v>
      </c>
      <c r="J63" s="45"/>
      <c r="K63" s="43"/>
    </row>
    <row r="64" spans="1:11" ht="12.5" x14ac:dyDescent="0.25">
      <c r="A64" s="47">
        <v>45623</v>
      </c>
      <c r="B64" s="38" t="s">
        <v>54</v>
      </c>
      <c r="C64" s="39" t="s">
        <v>247</v>
      </c>
      <c r="D64" s="38" t="s">
        <v>144</v>
      </c>
      <c r="E64" s="40" t="s">
        <v>52</v>
      </c>
      <c r="F64" s="40" t="s">
        <v>104</v>
      </c>
      <c r="G64" s="41">
        <v>2</v>
      </c>
      <c r="H64" s="41">
        <v>2</v>
      </c>
      <c r="I64" s="41">
        <f t="shared" si="1"/>
        <v>0</v>
      </c>
      <c r="J64" s="45"/>
      <c r="K64" s="43"/>
    </row>
    <row r="65" spans="1:11" ht="12.5" x14ac:dyDescent="0.25">
      <c r="A65" s="47">
        <v>45624</v>
      </c>
      <c r="B65" s="38" t="s">
        <v>54</v>
      </c>
      <c r="C65" s="39" t="s">
        <v>236</v>
      </c>
      <c r="D65" s="38" t="s">
        <v>131</v>
      </c>
      <c r="E65" s="40" t="s">
        <v>58</v>
      </c>
      <c r="F65" s="40" t="s">
        <v>104</v>
      </c>
      <c r="G65" s="41">
        <v>4</v>
      </c>
      <c r="H65" s="41">
        <v>4</v>
      </c>
      <c r="I65" s="41">
        <f t="shared" si="1"/>
        <v>0</v>
      </c>
      <c r="J65" s="53" t="s">
        <v>376</v>
      </c>
      <c r="K65" s="43"/>
    </row>
    <row r="66" spans="1:11" ht="12.5" x14ac:dyDescent="0.25">
      <c r="A66" s="47">
        <v>45624</v>
      </c>
      <c r="B66" s="38" t="s">
        <v>54</v>
      </c>
      <c r="C66" s="39" t="s">
        <v>248</v>
      </c>
      <c r="D66" s="38" t="s">
        <v>133</v>
      </c>
      <c r="E66" s="40" t="s">
        <v>52</v>
      </c>
      <c r="F66" s="40" t="s">
        <v>104</v>
      </c>
      <c r="G66" s="41">
        <v>0.25</v>
      </c>
      <c r="H66" s="41">
        <v>0.25</v>
      </c>
      <c r="I66" s="41">
        <f t="shared" si="1"/>
        <v>0</v>
      </c>
      <c r="J66" s="45"/>
      <c r="K66" s="43"/>
    </row>
    <row r="67" spans="1:11" ht="12.5" x14ac:dyDescent="0.25">
      <c r="A67" s="47" t="s">
        <v>134</v>
      </c>
      <c r="B67" s="38" t="s">
        <v>54</v>
      </c>
      <c r="C67" s="39" t="s">
        <v>250</v>
      </c>
      <c r="D67" s="38" t="s">
        <v>132</v>
      </c>
      <c r="E67" s="40" t="s">
        <v>63</v>
      </c>
      <c r="F67" s="40" t="s">
        <v>104</v>
      </c>
      <c r="G67" s="41">
        <v>1</v>
      </c>
      <c r="H67" s="41">
        <v>0.75</v>
      </c>
      <c r="I67" s="41">
        <f t="shared" si="1"/>
        <v>-0.25</v>
      </c>
      <c r="J67" s="53" t="s">
        <v>371</v>
      </c>
      <c r="K67" s="43"/>
    </row>
    <row r="68" spans="1:11" ht="12.5" x14ac:dyDescent="0.25">
      <c r="A68" s="47">
        <v>45625</v>
      </c>
      <c r="B68" s="38" t="s">
        <v>54</v>
      </c>
      <c r="C68" s="39" t="s">
        <v>77</v>
      </c>
      <c r="D68" s="38" t="s">
        <v>135</v>
      </c>
      <c r="E68" s="40" t="s">
        <v>46</v>
      </c>
      <c r="F68" s="40" t="s">
        <v>87</v>
      </c>
      <c r="G68" s="41">
        <v>0.25</v>
      </c>
      <c r="H68" s="41">
        <v>0.25</v>
      </c>
      <c r="I68" s="41">
        <f t="shared" si="1"/>
        <v>0</v>
      </c>
      <c r="J68" s="45"/>
      <c r="K68" s="43"/>
    </row>
    <row r="69" spans="1:11" ht="12.5" x14ac:dyDescent="0.25">
      <c r="A69" s="47">
        <v>45625</v>
      </c>
      <c r="B69" s="38" t="s">
        <v>54</v>
      </c>
      <c r="C69" s="39" t="s">
        <v>251</v>
      </c>
      <c r="D69" s="38" t="s">
        <v>136</v>
      </c>
      <c r="E69" s="40" t="s">
        <v>46</v>
      </c>
      <c r="F69" s="40" t="s">
        <v>104</v>
      </c>
      <c r="G69" s="41">
        <v>0.5</v>
      </c>
      <c r="H69" s="41">
        <v>0.5</v>
      </c>
      <c r="I69" s="41">
        <f t="shared" si="1"/>
        <v>0</v>
      </c>
      <c r="J69" s="45"/>
      <c r="K69" s="43"/>
    </row>
    <row r="70" spans="1:11" ht="12.5" x14ac:dyDescent="0.25">
      <c r="A70" s="47">
        <v>45625</v>
      </c>
      <c r="B70" s="38" t="s">
        <v>54</v>
      </c>
      <c r="C70" s="39" t="s">
        <v>65</v>
      </c>
      <c r="D70" s="38" t="s">
        <v>137</v>
      </c>
      <c r="E70" s="40" t="s">
        <v>65</v>
      </c>
      <c r="F70" s="40" t="s">
        <v>87</v>
      </c>
      <c r="G70" s="41">
        <v>1</v>
      </c>
      <c r="H70" s="41">
        <v>0.75</v>
      </c>
      <c r="I70" s="41">
        <f t="shared" si="1"/>
        <v>-0.25</v>
      </c>
      <c r="J70" s="45"/>
      <c r="K70" s="43"/>
    </row>
    <row r="71" spans="1:11" ht="12.5" x14ac:dyDescent="0.25">
      <c r="A71" s="47">
        <v>45625</v>
      </c>
      <c r="B71" s="38" t="s">
        <v>45</v>
      </c>
      <c r="C71" s="39" t="s">
        <v>252</v>
      </c>
      <c r="D71" s="38" t="s">
        <v>145</v>
      </c>
      <c r="E71" s="40" t="s">
        <v>45</v>
      </c>
      <c r="F71" s="40" t="s">
        <v>88</v>
      </c>
      <c r="G71" s="41">
        <v>0</v>
      </c>
      <c r="H71" s="41">
        <v>0.25</v>
      </c>
      <c r="I71" s="41">
        <f t="shared" si="1"/>
        <v>0.25</v>
      </c>
      <c r="J71" s="45"/>
      <c r="K71" s="43"/>
    </row>
    <row r="72" spans="1:11" ht="12.5" x14ac:dyDescent="0.25">
      <c r="A72" s="47">
        <v>45625</v>
      </c>
      <c r="B72" s="38" t="s">
        <v>54</v>
      </c>
      <c r="C72" s="39" t="s">
        <v>250</v>
      </c>
      <c r="D72" s="38" t="s">
        <v>138</v>
      </c>
      <c r="E72" s="40" t="s">
        <v>49</v>
      </c>
      <c r="F72" s="40" t="s">
        <v>104</v>
      </c>
      <c r="G72" s="41">
        <v>4</v>
      </c>
      <c r="H72" s="41">
        <v>3.5</v>
      </c>
      <c r="I72" s="41">
        <f t="shared" si="1"/>
        <v>-0.5</v>
      </c>
      <c r="J72" s="53" t="s">
        <v>371</v>
      </c>
      <c r="K72" s="43"/>
    </row>
    <row r="73" spans="1:11" ht="12.5" x14ac:dyDescent="0.25">
      <c r="A73" s="47">
        <v>45625</v>
      </c>
      <c r="B73" s="38" t="s">
        <v>54</v>
      </c>
      <c r="C73" s="39" t="s">
        <v>249</v>
      </c>
      <c r="D73" s="38" t="s">
        <v>146</v>
      </c>
      <c r="E73" s="40" t="s">
        <v>46</v>
      </c>
      <c r="F73" s="40" t="s">
        <v>86</v>
      </c>
      <c r="G73" s="41">
        <v>0.25</v>
      </c>
      <c r="H73" s="41">
        <v>0.33</v>
      </c>
      <c r="I73" s="41">
        <f t="shared" si="1"/>
        <v>8.0000000000000016E-2</v>
      </c>
      <c r="J73" s="45"/>
      <c r="K73" s="43"/>
    </row>
    <row r="74" spans="1:11" ht="12.5" x14ac:dyDescent="0.25">
      <c r="A74" s="47">
        <v>45625</v>
      </c>
      <c r="B74" s="38" t="s">
        <v>54</v>
      </c>
      <c r="C74" s="39" t="s">
        <v>197</v>
      </c>
      <c r="D74" s="38" t="s">
        <v>142</v>
      </c>
      <c r="E74" s="40" t="s">
        <v>63</v>
      </c>
      <c r="F74" s="40" t="s">
        <v>87</v>
      </c>
      <c r="G74" s="41">
        <v>0.25</v>
      </c>
      <c r="H74" s="41">
        <v>0.25</v>
      </c>
      <c r="I74" s="41">
        <f>H74-G74</f>
        <v>0</v>
      </c>
      <c r="J74" s="45"/>
      <c r="K74" s="43" t="s">
        <v>365</v>
      </c>
    </row>
    <row r="75" spans="1:11" ht="12.5" x14ac:dyDescent="0.25">
      <c r="A75" s="47">
        <v>45625</v>
      </c>
      <c r="B75" s="38" t="s">
        <v>54</v>
      </c>
      <c r="C75" s="39" t="s">
        <v>197</v>
      </c>
      <c r="D75" s="38" t="s">
        <v>147</v>
      </c>
      <c r="E75" s="40" t="s">
        <v>61</v>
      </c>
      <c r="F75" s="40" t="s">
        <v>87</v>
      </c>
      <c r="G75" s="41">
        <v>0.5</v>
      </c>
      <c r="H75" s="41">
        <v>0.5</v>
      </c>
      <c r="I75" s="41">
        <f t="shared" si="1"/>
        <v>0</v>
      </c>
      <c r="J75" s="45"/>
      <c r="K75" s="43" t="s">
        <v>373</v>
      </c>
    </row>
    <row r="76" spans="1:11" ht="12.5" x14ac:dyDescent="0.25">
      <c r="A76" s="47">
        <v>45625</v>
      </c>
      <c r="B76" s="38" t="s">
        <v>54</v>
      </c>
      <c r="C76" s="39" t="s">
        <v>197</v>
      </c>
      <c r="D76" s="38" t="s">
        <v>148</v>
      </c>
      <c r="E76" s="40" t="s">
        <v>61</v>
      </c>
      <c r="F76" s="40" t="s">
        <v>87</v>
      </c>
      <c r="G76" s="41">
        <v>0.5</v>
      </c>
      <c r="H76" s="41">
        <v>0.5</v>
      </c>
      <c r="I76" s="41">
        <f t="shared" si="1"/>
        <v>0</v>
      </c>
      <c r="J76" s="45"/>
      <c r="K76" s="43" t="s">
        <v>365</v>
      </c>
    </row>
    <row r="77" spans="1:11" ht="12.5" x14ac:dyDescent="0.25">
      <c r="A77" s="47">
        <v>45625</v>
      </c>
      <c r="B77" s="38" t="s">
        <v>54</v>
      </c>
      <c r="C77" s="39" t="s">
        <v>79</v>
      </c>
      <c r="D77" s="38" t="s">
        <v>157</v>
      </c>
      <c r="E77" s="40" t="s">
        <v>63</v>
      </c>
      <c r="F77" s="40" t="s">
        <v>86</v>
      </c>
      <c r="G77" s="41">
        <v>0.25</v>
      </c>
      <c r="H77" s="41">
        <v>0.25</v>
      </c>
      <c r="I77" s="41">
        <f t="shared" si="1"/>
        <v>0</v>
      </c>
      <c r="J77" s="45"/>
      <c r="K77" s="43" t="s">
        <v>365</v>
      </c>
    </row>
    <row r="78" spans="1:11" ht="12.5" x14ac:dyDescent="0.25">
      <c r="A78" s="47">
        <v>45625</v>
      </c>
      <c r="B78" s="38" t="s">
        <v>54</v>
      </c>
      <c r="C78" s="39" t="s">
        <v>197</v>
      </c>
      <c r="D78" s="38" t="s">
        <v>141</v>
      </c>
      <c r="E78" s="40" t="s">
        <v>63</v>
      </c>
      <c r="F78" s="40" t="s">
        <v>87</v>
      </c>
      <c r="G78" s="41">
        <v>0.25</v>
      </c>
      <c r="H78" s="41">
        <v>0.15</v>
      </c>
      <c r="I78" s="41">
        <f t="shared" si="1"/>
        <v>-0.1</v>
      </c>
      <c r="J78" s="45"/>
      <c r="K78" s="43" t="s">
        <v>365</v>
      </c>
    </row>
    <row r="79" spans="1:11" ht="12.5" x14ac:dyDescent="0.25">
      <c r="A79" s="13"/>
      <c r="B79" s="15"/>
      <c r="C79" s="15"/>
      <c r="D79" s="15"/>
      <c r="E79" s="15" t="s">
        <v>18</v>
      </c>
      <c r="F79" s="15"/>
      <c r="G79" s="18">
        <f>SUM(G46:G78)</f>
        <v>32.85</v>
      </c>
      <c r="H79" s="18">
        <f>SUM(H46:H78)</f>
        <v>33.579999999999991</v>
      </c>
      <c r="I79" s="18">
        <f t="shared" si="1"/>
        <v>0.72999999999998977</v>
      </c>
      <c r="J79" s="19"/>
      <c r="K79" s="46"/>
    </row>
    <row r="80" spans="1:11" ht="18.75" customHeight="1" x14ac:dyDescent="0.25">
      <c r="A80" s="68" t="s">
        <v>21</v>
      </c>
      <c r="B80" s="64"/>
      <c r="C80" s="64"/>
      <c r="D80" s="64"/>
      <c r="E80" s="64"/>
      <c r="F80" s="64"/>
      <c r="G80" s="64"/>
      <c r="H80" s="64"/>
      <c r="I80" s="64"/>
      <c r="J80" s="64"/>
      <c r="K80" s="65"/>
    </row>
    <row r="81" spans="1:11" ht="12.5" x14ac:dyDescent="0.25">
      <c r="A81" s="21" t="s">
        <v>12</v>
      </c>
      <c r="B81" s="69" t="s">
        <v>13</v>
      </c>
      <c r="C81" s="64"/>
      <c r="D81" s="64"/>
      <c r="E81" s="64"/>
      <c r="F81" s="64"/>
      <c r="G81" s="64"/>
      <c r="H81" s="64"/>
      <c r="I81" s="64"/>
      <c r="J81" s="64"/>
      <c r="K81" s="65"/>
    </row>
    <row r="82" spans="1:11" ht="27.75" customHeight="1" x14ac:dyDescent="0.25">
      <c r="A82" s="22" t="s">
        <v>14</v>
      </c>
      <c r="B82" s="69" t="s">
        <v>15</v>
      </c>
      <c r="C82" s="64"/>
      <c r="D82" s="64"/>
      <c r="E82" s="64"/>
      <c r="F82" s="64"/>
      <c r="G82" s="64"/>
      <c r="H82" s="64"/>
      <c r="I82" s="64"/>
      <c r="J82" s="64"/>
      <c r="K82" s="65"/>
    </row>
    <row r="83" spans="1:11" ht="12.5" x14ac:dyDescent="0.25">
      <c r="A83" s="37">
        <v>45628</v>
      </c>
      <c r="B83" s="38" t="s">
        <v>54</v>
      </c>
      <c r="C83" s="39" t="s">
        <v>79</v>
      </c>
      <c r="D83" s="38" t="s">
        <v>245</v>
      </c>
      <c r="E83" s="40" t="s">
        <v>61</v>
      </c>
      <c r="F83" s="40" t="s">
        <v>86</v>
      </c>
      <c r="G83" s="41">
        <v>0.5</v>
      </c>
      <c r="H83" s="41">
        <v>0.5</v>
      </c>
      <c r="I83" s="41">
        <f t="shared" ref="I83:I113" si="2">H83-G83</f>
        <v>0</v>
      </c>
      <c r="J83" s="45"/>
      <c r="K83" s="43" t="s">
        <v>365</v>
      </c>
    </row>
    <row r="84" spans="1:11" ht="12.5" x14ac:dyDescent="0.25">
      <c r="A84" s="37">
        <v>45628</v>
      </c>
      <c r="B84" s="38" t="s">
        <v>54</v>
      </c>
      <c r="C84" s="39" t="s">
        <v>197</v>
      </c>
      <c r="D84" s="38" t="s">
        <v>149</v>
      </c>
      <c r="E84" s="40" t="s">
        <v>61</v>
      </c>
      <c r="F84" s="40" t="s">
        <v>87</v>
      </c>
      <c r="G84" s="41">
        <v>0.5</v>
      </c>
      <c r="H84" s="41">
        <v>0.5</v>
      </c>
      <c r="I84" s="41">
        <f t="shared" si="2"/>
        <v>0</v>
      </c>
      <c r="J84" s="45"/>
      <c r="K84" s="43" t="s">
        <v>365</v>
      </c>
    </row>
    <row r="85" spans="1:11" ht="12.5" x14ac:dyDescent="0.25">
      <c r="A85" s="37">
        <v>45628</v>
      </c>
      <c r="B85" s="38" t="s">
        <v>54</v>
      </c>
      <c r="C85" s="39" t="s">
        <v>253</v>
      </c>
      <c r="D85" s="38" t="s">
        <v>150</v>
      </c>
      <c r="E85" s="40" t="s">
        <v>66</v>
      </c>
      <c r="F85" s="40" t="s">
        <v>104</v>
      </c>
      <c r="G85" s="41">
        <v>2</v>
      </c>
      <c r="H85" s="41">
        <v>1.5</v>
      </c>
      <c r="I85" s="41">
        <f t="shared" si="2"/>
        <v>-0.5</v>
      </c>
      <c r="J85" s="53" t="s">
        <v>370</v>
      </c>
      <c r="K85" s="43"/>
    </row>
    <row r="86" spans="1:11" ht="12.5" x14ac:dyDescent="0.25">
      <c r="A86" s="37">
        <v>45628</v>
      </c>
      <c r="B86" s="38" t="s">
        <v>54</v>
      </c>
      <c r="C86" s="39" t="s">
        <v>253</v>
      </c>
      <c r="D86" s="38" t="s">
        <v>155</v>
      </c>
      <c r="E86" s="40" t="s">
        <v>66</v>
      </c>
      <c r="F86" s="40" t="s">
        <v>104</v>
      </c>
      <c r="G86" s="41">
        <v>0.5</v>
      </c>
      <c r="H86" s="41">
        <v>0.5</v>
      </c>
      <c r="I86" s="41">
        <f t="shared" si="2"/>
        <v>0</v>
      </c>
      <c r="J86" s="45"/>
      <c r="K86" s="43"/>
    </row>
    <row r="87" spans="1:11" ht="12.5" x14ac:dyDescent="0.25">
      <c r="A87" s="37">
        <v>45628</v>
      </c>
      <c r="B87" s="38" t="s">
        <v>54</v>
      </c>
      <c r="C87" s="39" t="s">
        <v>253</v>
      </c>
      <c r="D87" s="38" t="s">
        <v>151</v>
      </c>
      <c r="E87" s="40" t="s">
        <v>55</v>
      </c>
      <c r="F87" s="40" t="s">
        <v>104</v>
      </c>
      <c r="G87" s="41">
        <v>0.5</v>
      </c>
      <c r="H87" s="41">
        <v>0.25</v>
      </c>
      <c r="I87" s="41">
        <f t="shared" si="2"/>
        <v>-0.25</v>
      </c>
      <c r="J87" s="53" t="s">
        <v>384</v>
      </c>
      <c r="K87" s="43"/>
    </row>
    <row r="88" spans="1:11" ht="12.5" x14ac:dyDescent="0.25">
      <c r="A88" s="37">
        <v>45628</v>
      </c>
      <c r="B88" s="38" t="s">
        <v>54</v>
      </c>
      <c r="C88" s="39" t="s">
        <v>254</v>
      </c>
      <c r="D88" s="38" t="s">
        <v>152</v>
      </c>
      <c r="E88" s="40" t="s">
        <v>66</v>
      </c>
      <c r="F88" s="40" t="s">
        <v>104</v>
      </c>
      <c r="G88" s="41">
        <v>4</v>
      </c>
      <c r="H88" s="41">
        <v>3</v>
      </c>
      <c r="I88" s="41">
        <f t="shared" si="2"/>
        <v>-1</v>
      </c>
      <c r="J88" s="53" t="s">
        <v>370</v>
      </c>
      <c r="K88" s="43"/>
    </row>
    <row r="89" spans="1:11" ht="12.5" x14ac:dyDescent="0.25">
      <c r="A89" s="37">
        <v>45628</v>
      </c>
      <c r="B89" s="38" t="s">
        <v>54</v>
      </c>
      <c r="C89" s="39" t="s">
        <v>254</v>
      </c>
      <c r="D89" s="38" t="s">
        <v>154</v>
      </c>
      <c r="E89" s="40" t="s">
        <v>66</v>
      </c>
      <c r="F89" s="40" t="s">
        <v>104</v>
      </c>
      <c r="G89" s="41">
        <v>0.5</v>
      </c>
      <c r="H89" s="41">
        <v>0.5</v>
      </c>
      <c r="I89" s="41">
        <f t="shared" si="2"/>
        <v>0</v>
      </c>
      <c r="J89" s="45"/>
      <c r="K89" s="43"/>
    </row>
    <row r="90" spans="1:11" ht="12.5" x14ac:dyDescent="0.25">
      <c r="A90" s="37">
        <v>45628</v>
      </c>
      <c r="B90" s="38" t="s">
        <v>54</v>
      </c>
      <c r="C90" s="39" t="s">
        <v>254</v>
      </c>
      <c r="D90" s="38" t="s">
        <v>153</v>
      </c>
      <c r="E90" s="40" t="s">
        <v>55</v>
      </c>
      <c r="F90" s="40" t="s">
        <v>104</v>
      </c>
      <c r="G90" s="41">
        <v>0.5</v>
      </c>
      <c r="H90" s="41">
        <v>1</v>
      </c>
      <c r="I90" s="41">
        <f t="shared" si="2"/>
        <v>0.5</v>
      </c>
      <c r="J90" s="53" t="s">
        <v>385</v>
      </c>
      <c r="K90" s="43" t="s">
        <v>156</v>
      </c>
    </row>
    <row r="91" spans="1:11" ht="12.5" x14ac:dyDescent="0.25">
      <c r="A91" s="37">
        <v>45628</v>
      </c>
      <c r="B91" s="38" t="s">
        <v>54</v>
      </c>
      <c r="C91" s="39" t="s">
        <v>248</v>
      </c>
      <c r="D91" s="38" t="s">
        <v>158</v>
      </c>
      <c r="E91" s="40" t="s">
        <v>52</v>
      </c>
      <c r="F91" s="40" t="s">
        <v>104</v>
      </c>
      <c r="G91" s="41">
        <v>0.25</v>
      </c>
      <c r="H91" s="41">
        <v>0.25</v>
      </c>
      <c r="I91" s="41">
        <f t="shared" si="2"/>
        <v>0</v>
      </c>
      <c r="J91" s="45"/>
      <c r="K91" s="43"/>
    </row>
    <row r="92" spans="1:11" ht="12.5" x14ac:dyDescent="0.25">
      <c r="A92" s="37">
        <v>45629</v>
      </c>
      <c r="B92" s="38" t="s">
        <v>54</v>
      </c>
      <c r="C92" s="39" t="s">
        <v>79</v>
      </c>
      <c r="D92" s="38" t="s">
        <v>255</v>
      </c>
      <c r="E92" s="40" t="s">
        <v>61</v>
      </c>
      <c r="F92" s="40" t="s">
        <v>86</v>
      </c>
      <c r="G92" s="41">
        <v>0.5</v>
      </c>
      <c r="H92" s="41">
        <v>0.5</v>
      </c>
      <c r="I92" s="41">
        <f t="shared" si="2"/>
        <v>0</v>
      </c>
      <c r="J92" s="45"/>
      <c r="K92" s="43" t="s">
        <v>365</v>
      </c>
    </row>
    <row r="93" spans="1:11" ht="12.5" x14ac:dyDescent="0.25">
      <c r="A93" s="37">
        <v>45629</v>
      </c>
      <c r="B93" s="38" t="s">
        <v>54</v>
      </c>
      <c r="C93" s="39" t="s">
        <v>77</v>
      </c>
      <c r="D93" s="38" t="s">
        <v>159</v>
      </c>
      <c r="E93" s="40" t="s">
        <v>46</v>
      </c>
      <c r="F93" s="40" t="s">
        <v>86</v>
      </c>
      <c r="G93" s="41">
        <v>0.25</v>
      </c>
      <c r="H93" s="41">
        <v>0.25</v>
      </c>
      <c r="I93" s="41">
        <f t="shared" si="2"/>
        <v>0</v>
      </c>
      <c r="J93" s="45"/>
      <c r="K93" s="43"/>
    </row>
    <row r="94" spans="1:11" ht="12.5" x14ac:dyDescent="0.25">
      <c r="A94" s="37">
        <v>45629</v>
      </c>
      <c r="B94" s="38" t="s">
        <v>54</v>
      </c>
      <c r="C94" s="39" t="s">
        <v>250</v>
      </c>
      <c r="D94" s="38" t="s">
        <v>160</v>
      </c>
      <c r="E94" s="40" t="s">
        <v>49</v>
      </c>
      <c r="F94" s="40" t="s">
        <v>104</v>
      </c>
      <c r="G94" s="41">
        <v>4</v>
      </c>
      <c r="H94" s="41">
        <v>5.5</v>
      </c>
      <c r="I94" s="41">
        <f t="shared" si="2"/>
        <v>1.5</v>
      </c>
      <c r="J94" s="53" t="s">
        <v>371</v>
      </c>
      <c r="K94" s="43" t="s">
        <v>163</v>
      </c>
    </row>
    <row r="95" spans="1:11" ht="12.5" x14ac:dyDescent="0.25">
      <c r="A95" s="37">
        <v>45629</v>
      </c>
      <c r="B95" s="38" t="s">
        <v>54</v>
      </c>
      <c r="C95" s="39" t="s">
        <v>65</v>
      </c>
      <c r="D95" s="38" t="s">
        <v>256</v>
      </c>
      <c r="E95" s="40" t="s">
        <v>65</v>
      </c>
      <c r="F95" s="40" t="s">
        <v>162</v>
      </c>
      <c r="G95" s="41">
        <v>1</v>
      </c>
      <c r="H95" s="41">
        <v>1</v>
      </c>
      <c r="I95" s="41">
        <f t="shared" si="2"/>
        <v>0</v>
      </c>
      <c r="J95" s="53" t="s">
        <v>378</v>
      </c>
      <c r="K95" s="43"/>
    </row>
    <row r="96" spans="1:11" ht="12.5" x14ac:dyDescent="0.25">
      <c r="A96" s="37">
        <v>45629</v>
      </c>
      <c r="B96" s="38" t="s">
        <v>54</v>
      </c>
      <c r="C96" s="39" t="s">
        <v>250</v>
      </c>
      <c r="D96" s="38" t="s">
        <v>161</v>
      </c>
      <c r="E96" s="40" t="s">
        <v>49</v>
      </c>
      <c r="F96" s="40" t="s">
        <v>104</v>
      </c>
      <c r="G96" s="41">
        <v>2.5</v>
      </c>
      <c r="H96" s="41">
        <v>2</v>
      </c>
      <c r="I96" s="41">
        <f t="shared" si="2"/>
        <v>-0.5</v>
      </c>
      <c r="J96" s="53" t="s">
        <v>371</v>
      </c>
      <c r="K96" s="43"/>
    </row>
    <row r="97" spans="1:11" ht="12.5" x14ac:dyDescent="0.25">
      <c r="A97" s="37">
        <v>45630</v>
      </c>
      <c r="B97" s="38" t="s">
        <v>54</v>
      </c>
      <c r="C97" s="39" t="s">
        <v>257</v>
      </c>
      <c r="D97" s="38" t="s">
        <v>164</v>
      </c>
      <c r="E97" s="40" t="s">
        <v>66</v>
      </c>
      <c r="F97" s="40" t="s">
        <v>104</v>
      </c>
      <c r="G97" s="41">
        <v>4</v>
      </c>
      <c r="H97" s="41">
        <v>4</v>
      </c>
      <c r="I97" s="41">
        <f t="shared" si="2"/>
        <v>0</v>
      </c>
      <c r="J97" s="45"/>
      <c r="K97" s="43"/>
    </row>
    <row r="98" spans="1:11" ht="12.5" x14ac:dyDescent="0.25">
      <c r="A98" s="37">
        <v>45630</v>
      </c>
      <c r="B98" s="38" t="s">
        <v>54</v>
      </c>
      <c r="C98" s="39" t="s">
        <v>257</v>
      </c>
      <c r="D98" s="38" t="s">
        <v>165</v>
      </c>
      <c r="E98" s="40" t="s">
        <v>66</v>
      </c>
      <c r="F98" s="40" t="s">
        <v>104</v>
      </c>
      <c r="G98" s="41">
        <v>2</v>
      </c>
      <c r="H98" s="41">
        <v>1</v>
      </c>
      <c r="I98" s="41">
        <f t="shared" si="2"/>
        <v>-1</v>
      </c>
      <c r="J98" s="45"/>
      <c r="K98" s="43" t="s">
        <v>386</v>
      </c>
    </row>
    <row r="99" spans="1:11" ht="12.5" x14ac:dyDescent="0.25">
      <c r="A99" s="37">
        <v>45631</v>
      </c>
      <c r="B99" s="38" t="s">
        <v>54</v>
      </c>
      <c r="C99" s="39" t="s">
        <v>258</v>
      </c>
      <c r="D99" s="38" t="s">
        <v>166</v>
      </c>
      <c r="E99" s="40" t="s">
        <v>66</v>
      </c>
      <c r="F99" s="40" t="s">
        <v>104</v>
      </c>
      <c r="G99" s="41">
        <v>1</v>
      </c>
      <c r="H99" s="41">
        <v>1</v>
      </c>
      <c r="I99" s="41">
        <f t="shared" si="2"/>
        <v>0</v>
      </c>
      <c r="J99" s="53" t="s">
        <v>370</v>
      </c>
      <c r="K99" s="43"/>
    </row>
    <row r="100" spans="1:11" ht="12.5" x14ac:dyDescent="0.25">
      <c r="A100" s="37">
        <v>45631</v>
      </c>
      <c r="B100" s="38" t="s">
        <v>54</v>
      </c>
      <c r="C100" s="39" t="s">
        <v>258</v>
      </c>
      <c r="D100" s="38" t="s">
        <v>167</v>
      </c>
      <c r="E100" s="40" t="s">
        <v>66</v>
      </c>
      <c r="F100" s="40" t="s">
        <v>104</v>
      </c>
      <c r="G100" s="41">
        <v>2</v>
      </c>
      <c r="H100" s="41">
        <v>2</v>
      </c>
      <c r="I100" s="41">
        <f t="shared" si="2"/>
        <v>0</v>
      </c>
      <c r="J100" s="53" t="s">
        <v>370</v>
      </c>
      <c r="K100" s="43"/>
    </row>
    <row r="101" spans="1:11" ht="12.5" x14ac:dyDescent="0.25">
      <c r="A101" s="37">
        <v>45631</v>
      </c>
      <c r="B101" s="38" t="s">
        <v>54</v>
      </c>
      <c r="C101" s="39" t="s">
        <v>258</v>
      </c>
      <c r="D101" s="38" t="s">
        <v>168</v>
      </c>
      <c r="E101" s="40" t="s">
        <v>66</v>
      </c>
      <c r="F101" s="40" t="s">
        <v>104</v>
      </c>
      <c r="G101" s="41">
        <v>1</v>
      </c>
      <c r="H101" s="41">
        <v>1</v>
      </c>
      <c r="I101" s="41">
        <f t="shared" si="2"/>
        <v>0</v>
      </c>
      <c r="J101" s="53" t="s">
        <v>370</v>
      </c>
      <c r="K101" s="43"/>
    </row>
    <row r="102" spans="1:11" ht="12.5" x14ac:dyDescent="0.25">
      <c r="A102" s="37">
        <v>45631</v>
      </c>
      <c r="B102" s="38" t="s">
        <v>54</v>
      </c>
      <c r="C102" s="39" t="s">
        <v>258</v>
      </c>
      <c r="D102" s="38" t="s">
        <v>169</v>
      </c>
      <c r="E102" s="40" t="s">
        <v>66</v>
      </c>
      <c r="F102" s="40" t="s">
        <v>104</v>
      </c>
      <c r="G102" s="41">
        <v>2</v>
      </c>
      <c r="H102" s="41">
        <v>2</v>
      </c>
      <c r="I102" s="41">
        <f t="shared" si="2"/>
        <v>0</v>
      </c>
      <c r="J102" s="53" t="s">
        <v>370</v>
      </c>
      <c r="K102" s="43"/>
    </row>
    <row r="103" spans="1:11" ht="12.5" x14ac:dyDescent="0.25">
      <c r="A103" s="37">
        <v>45631</v>
      </c>
      <c r="B103" s="38" t="s">
        <v>54</v>
      </c>
      <c r="C103" s="39" t="s">
        <v>258</v>
      </c>
      <c r="D103" s="38" t="s">
        <v>170</v>
      </c>
      <c r="E103" s="40" t="s">
        <v>52</v>
      </c>
      <c r="F103" s="40" t="s">
        <v>104</v>
      </c>
      <c r="G103" s="41">
        <v>1</v>
      </c>
      <c r="H103" s="41">
        <v>1</v>
      </c>
      <c r="I103" s="41">
        <f t="shared" si="2"/>
        <v>0</v>
      </c>
      <c r="J103" s="53" t="s">
        <v>370</v>
      </c>
      <c r="K103" s="43"/>
    </row>
    <row r="104" spans="1:11" ht="12.5" x14ac:dyDescent="0.25">
      <c r="A104" s="37">
        <v>45631</v>
      </c>
      <c r="B104" s="38" t="s">
        <v>54</v>
      </c>
      <c r="C104" s="39" t="s">
        <v>258</v>
      </c>
      <c r="D104" s="38" t="s">
        <v>171</v>
      </c>
      <c r="E104" s="40" t="s">
        <v>55</v>
      </c>
      <c r="F104" s="40" t="s">
        <v>104</v>
      </c>
      <c r="G104" s="41">
        <v>1</v>
      </c>
      <c r="H104" s="41">
        <v>1</v>
      </c>
      <c r="I104" s="41">
        <f t="shared" si="2"/>
        <v>0</v>
      </c>
      <c r="J104" s="45"/>
      <c r="K104" s="43"/>
    </row>
    <row r="105" spans="1:11" ht="12.5" x14ac:dyDescent="0.25">
      <c r="A105" s="37">
        <v>45632</v>
      </c>
      <c r="B105" s="38" t="s">
        <v>54</v>
      </c>
      <c r="C105" s="39" t="s">
        <v>77</v>
      </c>
      <c r="D105" s="38" t="s">
        <v>77</v>
      </c>
      <c r="E105" s="40" t="s">
        <v>46</v>
      </c>
      <c r="F105" s="40" t="s">
        <v>86</v>
      </c>
      <c r="G105" s="41">
        <v>0.25</v>
      </c>
      <c r="H105" s="41">
        <v>0.25</v>
      </c>
      <c r="I105" s="41">
        <f t="shared" si="2"/>
        <v>0</v>
      </c>
      <c r="J105" s="45"/>
      <c r="K105" s="43"/>
    </row>
    <row r="106" spans="1:11" ht="12.5" x14ac:dyDescent="0.25">
      <c r="A106" s="37">
        <v>45632</v>
      </c>
      <c r="B106" s="38" t="s">
        <v>54</v>
      </c>
      <c r="C106" s="39" t="s">
        <v>250</v>
      </c>
      <c r="D106" s="38" t="s">
        <v>172</v>
      </c>
      <c r="E106" s="40" t="s">
        <v>49</v>
      </c>
      <c r="F106" s="40" t="s">
        <v>177</v>
      </c>
      <c r="G106" s="41">
        <v>4</v>
      </c>
      <c r="H106" s="41">
        <v>4</v>
      </c>
      <c r="I106" s="41">
        <f t="shared" si="2"/>
        <v>0</v>
      </c>
      <c r="J106" s="53" t="s">
        <v>371</v>
      </c>
      <c r="K106" s="43"/>
    </row>
    <row r="107" spans="1:11" ht="12.5" x14ac:dyDescent="0.25">
      <c r="A107" s="37">
        <v>45632</v>
      </c>
      <c r="B107" s="38" t="s">
        <v>54</v>
      </c>
      <c r="C107" s="39" t="s">
        <v>251</v>
      </c>
      <c r="D107" s="38" t="s">
        <v>176</v>
      </c>
      <c r="E107" s="40" t="s">
        <v>65</v>
      </c>
      <c r="F107" s="40" t="s">
        <v>104</v>
      </c>
      <c r="G107" s="41">
        <v>1</v>
      </c>
      <c r="H107" s="41">
        <v>1</v>
      </c>
      <c r="I107" s="41">
        <f t="shared" si="2"/>
        <v>0</v>
      </c>
      <c r="J107" s="45"/>
      <c r="K107" s="43"/>
    </row>
    <row r="108" spans="1:11" ht="12.5" x14ac:dyDescent="0.25">
      <c r="A108" s="37">
        <v>45632</v>
      </c>
      <c r="B108" s="38" t="s">
        <v>54</v>
      </c>
      <c r="C108" s="39" t="s">
        <v>250</v>
      </c>
      <c r="D108" s="38" t="s">
        <v>173</v>
      </c>
      <c r="E108" s="40" t="s">
        <v>49</v>
      </c>
      <c r="F108" s="40" t="s">
        <v>177</v>
      </c>
      <c r="G108" s="41">
        <v>2.5</v>
      </c>
      <c r="H108" s="41">
        <v>1.5</v>
      </c>
      <c r="I108" s="41">
        <f t="shared" si="2"/>
        <v>-1</v>
      </c>
      <c r="J108" s="53" t="s">
        <v>371</v>
      </c>
      <c r="K108" s="43" t="s">
        <v>198</v>
      </c>
    </row>
    <row r="109" spans="1:11" ht="12.5" x14ac:dyDescent="0.25">
      <c r="A109" s="37">
        <v>45632</v>
      </c>
      <c r="B109" s="38" t="s">
        <v>54</v>
      </c>
      <c r="C109" s="39" t="s">
        <v>79</v>
      </c>
      <c r="D109" s="38" t="s">
        <v>259</v>
      </c>
      <c r="E109" s="40" t="s">
        <v>61</v>
      </c>
      <c r="F109" s="40" t="s">
        <v>86</v>
      </c>
      <c r="G109" s="41">
        <v>0.5</v>
      </c>
      <c r="H109" s="41">
        <v>0.5</v>
      </c>
      <c r="I109" s="41">
        <f t="shared" si="2"/>
        <v>0</v>
      </c>
      <c r="J109" s="45"/>
      <c r="K109" s="43" t="s">
        <v>365</v>
      </c>
    </row>
    <row r="110" spans="1:11" ht="12.5" x14ac:dyDescent="0.25">
      <c r="A110" s="37">
        <v>45632</v>
      </c>
      <c r="B110" s="38" t="s">
        <v>54</v>
      </c>
      <c r="C110" s="39" t="s">
        <v>197</v>
      </c>
      <c r="D110" s="38" t="s">
        <v>149</v>
      </c>
      <c r="E110" s="40" t="s">
        <v>61</v>
      </c>
      <c r="F110" s="40" t="s">
        <v>87</v>
      </c>
      <c r="G110" s="41">
        <v>0.5</v>
      </c>
      <c r="H110" s="41">
        <v>0.5</v>
      </c>
      <c r="I110" s="41">
        <f t="shared" si="2"/>
        <v>0</v>
      </c>
      <c r="J110" s="45"/>
      <c r="K110" s="43" t="s">
        <v>365</v>
      </c>
    </row>
    <row r="111" spans="1:11" ht="12.5" x14ac:dyDescent="0.25">
      <c r="A111" s="37">
        <v>45632</v>
      </c>
      <c r="B111" s="38" t="s">
        <v>54</v>
      </c>
      <c r="C111" s="39" t="s">
        <v>197</v>
      </c>
      <c r="D111" s="38" t="s">
        <v>175</v>
      </c>
      <c r="E111" s="40" t="s">
        <v>63</v>
      </c>
      <c r="F111" s="40" t="s">
        <v>86</v>
      </c>
      <c r="G111" s="41">
        <v>0.5</v>
      </c>
      <c r="H111" s="41">
        <v>0.25</v>
      </c>
      <c r="I111" s="41">
        <f t="shared" si="2"/>
        <v>-0.25</v>
      </c>
      <c r="J111" s="45"/>
      <c r="K111" s="43" t="s">
        <v>365</v>
      </c>
    </row>
    <row r="112" spans="1:11" ht="12.5" x14ac:dyDescent="0.25">
      <c r="A112" s="37">
        <v>45632</v>
      </c>
      <c r="B112" s="38" t="s">
        <v>54</v>
      </c>
      <c r="C112" s="39" t="s">
        <v>79</v>
      </c>
      <c r="D112" s="38" t="s">
        <v>174</v>
      </c>
      <c r="E112" s="40" t="s">
        <v>63</v>
      </c>
      <c r="F112" s="40" t="s">
        <v>86</v>
      </c>
      <c r="G112" s="41">
        <v>0.5</v>
      </c>
      <c r="H112" s="41">
        <v>0.25</v>
      </c>
      <c r="I112" s="41">
        <f t="shared" si="2"/>
        <v>-0.25</v>
      </c>
      <c r="J112" s="45"/>
      <c r="K112" s="43" t="s">
        <v>365</v>
      </c>
    </row>
    <row r="113" spans="1:11" ht="12.5" x14ac:dyDescent="0.25">
      <c r="A113" s="13"/>
      <c r="B113" s="15"/>
      <c r="C113" s="15"/>
      <c r="D113" s="15"/>
      <c r="E113" s="15" t="s">
        <v>18</v>
      </c>
      <c r="F113" s="15"/>
      <c r="G113" s="18">
        <f>SUM(G83:G112)</f>
        <v>41.25</v>
      </c>
      <c r="H113" s="18">
        <f>SUM(H83:H112)</f>
        <v>38.5</v>
      </c>
      <c r="I113" s="18">
        <f t="shared" si="2"/>
        <v>-2.75</v>
      </c>
      <c r="J113" s="19"/>
      <c r="K113" s="46"/>
    </row>
    <row r="114" spans="1:11" ht="18.75" customHeight="1" x14ac:dyDescent="0.25">
      <c r="A114" s="70" t="s">
        <v>22</v>
      </c>
      <c r="B114" s="64"/>
      <c r="C114" s="64"/>
      <c r="D114" s="64"/>
      <c r="E114" s="64"/>
      <c r="F114" s="64"/>
      <c r="G114" s="64"/>
      <c r="H114" s="64"/>
      <c r="I114" s="64"/>
      <c r="J114" s="64"/>
      <c r="K114" s="65"/>
    </row>
    <row r="115" spans="1:11" ht="12.5" x14ac:dyDescent="0.25">
      <c r="A115" s="23" t="s">
        <v>12</v>
      </c>
      <c r="B115" s="72" t="s">
        <v>13</v>
      </c>
      <c r="C115" s="64"/>
      <c r="D115" s="64"/>
      <c r="E115" s="64"/>
      <c r="F115" s="64"/>
      <c r="G115" s="64"/>
      <c r="H115" s="64"/>
      <c r="I115" s="64"/>
      <c r="J115" s="64"/>
      <c r="K115" s="65"/>
    </row>
    <row r="116" spans="1:11" ht="27.75" customHeight="1" x14ac:dyDescent="0.25">
      <c r="A116" s="24" t="s">
        <v>14</v>
      </c>
      <c r="B116" s="72" t="s">
        <v>15</v>
      </c>
      <c r="C116" s="64"/>
      <c r="D116" s="64"/>
      <c r="E116" s="64"/>
      <c r="F116" s="64"/>
      <c r="G116" s="64"/>
      <c r="H116" s="64"/>
      <c r="I116" s="64"/>
      <c r="J116" s="64"/>
      <c r="K116" s="65"/>
    </row>
    <row r="117" spans="1:11" ht="12.5" x14ac:dyDescent="0.25">
      <c r="A117" s="37">
        <v>45635</v>
      </c>
      <c r="B117" s="38" t="s">
        <v>54</v>
      </c>
      <c r="C117" s="39" t="s">
        <v>197</v>
      </c>
      <c r="D117" s="38" t="s">
        <v>260</v>
      </c>
      <c r="E117" s="40" t="s">
        <v>61</v>
      </c>
      <c r="F117" s="40" t="s">
        <v>87</v>
      </c>
      <c r="G117" s="41">
        <v>0.25</v>
      </c>
      <c r="H117" s="41">
        <v>0.25</v>
      </c>
      <c r="I117" s="41">
        <f t="shared" ref="I117:I118" si="3">H117-G117</f>
        <v>0</v>
      </c>
      <c r="J117" s="45"/>
      <c r="K117" s="43" t="s">
        <v>365</v>
      </c>
    </row>
    <row r="118" spans="1:11" ht="12.5" x14ac:dyDescent="0.25">
      <c r="A118" s="37">
        <v>45635</v>
      </c>
      <c r="B118" s="38" t="s">
        <v>54</v>
      </c>
      <c r="C118" s="39" t="s">
        <v>79</v>
      </c>
      <c r="D118" s="38" t="s">
        <v>245</v>
      </c>
      <c r="E118" s="40" t="s">
        <v>61</v>
      </c>
      <c r="F118" s="40" t="s">
        <v>86</v>
      </c>
      <c r="G118" s="41">
        <v>0.25</v>
      </c>
      <c r="H118" s="41">
        <v>0.25</v>
      </c>
      <c r="I118" s="41">
        <f t="shared" si="3"/>
        <v>0</v>
      </c>
      <c r="J118" s="45"/>
      <c r="K118" s="43" t="s">
        <v>365</v>
      </c>
    </row>
    <row r="119" spans="1:11" ht="12.5" x14ac:dyDescent="0.25">
      <c r="A119" s="37">
        <v>45635</v>
      </c>
      <c r="B119" s="38" t="s">
        <v>54</v>
      </c>
      <c r="C119" s="39" t="s">
        <v>261</v>
      </c>
      <c r="D119" s="38" t="s">
        <v>179</v>
      </c>
      <c r="E119" s="40" t="s">
        <v>66</v>
      </c>
      <c r="F119" s="40" t="s">
        <v>104</v>
      </c>
      <c r="G119" s="41">
        <v>1.5</v>
      </c>
      <c r="H119" s="41">
        <v>1.5</v>
      </c>
      <c r="I119" s="41">
        <f>H119-G119</f>
        <v>0</v>
      </c>
      <c r="J119" s="53" t="s">
        <v>370</v>
      </c>
      <c r="K119" s="43"/>
    </row>
    <row r="120" spans="1:11" ht="12.5" x14ac:dyDescent="0.25">
      <c r="A120" s="37">
        <v>45635</v>
      </c>
      <c r="B120" s="38" t="s">
        <v>54</v>
      </c>
      <c r="C120" s="39" t="s">
        <v>261</v>
      </c>
      <c r="D120" s="38" t="s">
        <v>180</v>
      </c>
      <c r="E120" s="40" t="s">
        <v>66</v>
      </c>
      <c r="F120" s="40" t="s">
        <v>104</v>
      </c>
      <c r="G120" s="41">
        <v>1.5</v>
      </c>
      <c r="H120" s="41">
        <v>1</v>
      </c>
      <c r="I120" s="41">
        <f t="shared" ref="I120:I146" si="4">H120-G120</f>
        <v>-0.5</v>
      </c>
      <c r="J120" s="53" t="s">
        <v>370</v>
      </c>
      <c r="K120" s="43"/>
    </row>
    <row r="121" spans="1:11" ht="12.5" x14ac:dyDescent="0.25">
      <c r="A121" s="37">
        <v>45635</v>
      </c>
      <c r="B121" s="38" t="s">
        <v>54</v>
      </c>
      <c r="C121" s="39" t="s">
        <v>261</v>
      </c>
      <c r="D121" s="38" t="s">
        <v>181</v>
      </c>
      <c r="E121" s="40" t="s">
        <v>66</v>
      </c>
      <c r="F121" s="40" t="s">
        <v>104</v>
      </c>
      <c r="G121" s="41">
        <v>1.5</v>
      </c>
      <c r="H121" s="41">
        <v>1</v>
      </c>
      <c r="I121" s="41">
        <f t="shared" si="4"/>
        <v>-0.5</v>
      </c>
      <c r="J121" s="53" t="s">
        <v>370</v>
      </c>
      <c r="K121" s="43"/>
    </row>
    <row r="122" spans="1:11" ht="12.5" x14ac:dyDescent="0.25">
      <c r="A122" s="37">
        <v>45635</v>
      </c>
      <c r="B122" s="38" t="s">
        <v>54</v>
      </c>
      <c r="C122" s="39" t="s">
        <v>261</v>
      </c>
      <c r="D122" s="38" t="s">
        <v>182</v>
      </c>
      <c r="E122" s="40" t="s">
        <v>66</v>
      </c>
      <c r="F122" s="40" t="s">
        <v>104</v>
      </c>
      <c r="G122" s="41">
        <v>1.5</v>
      </c>
      <c r="H122" s="41">
        <v>1</v>
      </c>
      <c r="I122" s="41">
        <f t="shared" si="4"/>
        <v>-0.5</v>
      </c>
      <c r="J122" s="53" t="s">
        <v>370</v>
      </c>
      <c r="K122" s="43"/>
    </row>
    <row r="123" spans="1:11" ht="12.5" x14ac:dyDescent="0.25">
      <c r="A123" s="37">
        <v>45635</v>
      </c>
      <c r="B123" s="38" t="s">
        <v>54</v>
      </c>
      <c r="C123" s="39" t="s">
        <v>261</v>
      </c>
      <c r="D123" s="38" t="s">
        <v>183</v>
      </c>
      <c r="E123" s="40" t="s">
        <v>66</v>
      </c>
      <c r="F123" s="40" t="s">
        <v>104</v>
      </c>
      <c r="G123" s="41">
        <v>1.5</v>
      </c>
      <c r="H123" s="41">
        <v>1</v>
      </c>
      <c r="I123" s="41">
        <f t="shared" si="4"/>
        <v>-0.5</v>
      </c>
      <c r="J123" s="53" t="s">
        <v>370</v>
      </c>
      <c r="K123" s="43"/>
    </row>
    <row r="124" spans="1:11" ht="12.5" x14ac:dyDescent="0.25">
      <c r="A124" s="37">
        <v>45635</v>
      </c>
      <c r="B124" s="38" t="s">
        <v>54</v>
      </c>
      <c r="C124" s="39" t="s">
        <v>261</v>
      </c>
      <c r="D124" s="38" t="s">
        <v>194</v>
      </c>
      <c r="E124" s="40" t="s">
        <v>66</v>
      </c>
      <c r="F124" s="40" t="s">
        <v>104</v>
      </c>
      <c r="G124" s="41">
        <v>1</v>
      </c>
      <c r="H124" s="41">
        <v>1.5</v>
      </c>
      <c r="I124" s="41">
        <f t="shared" si="4"/>
        <v>0.5</v>
      </c>
      <c r="J124" s="45"/>
      <c r="K124" s="43"/>
    </row>
    <row r="125" spans="1:11" ht="12.5" x14ac:dyDescent="0.25">
      <c r="A125" s="37">
        <v>45635</v>
      </c>
      <c r="B125" s="38" t="s">
        <v>54</v>
      </c>
      <c r="C125" s="39" t="s">
        <v>261</v>
      </c>
      <c r="D125" s="38" t="s">
        <v>178</v>
      </c>
      <c r="E125" s="40" t="s">
        <v>55</v>
      </c>
      <c r="F125" s="40" t="s">
        <v>104</v>
      </c>
      <c r="G125" s="41">
        <v>0.5</v>
      </c>
      <c r="H125" s="41">
        <v>0.5</v>
      </c>
      <c r="I125" s="41">
        <f t="shared" si="4"/>
        <v>0</v>
      </c>
      <c r="J125" s="53" t="s">
        <v>380</v>
      </c>
      <c r="K125" s="43"/>
    </row>
    <row r="126" spans="1:11" ht="12.5" x14ac:dyDescent="0.25">
      <c r="A126" s="37">
        <v>45636</v>
      </c>
      <c r="B126" s="38" t="s">
        <v>48</v>
      </c>
      <c r="C126" s="39" t="s">
        <v>250</v>
      </c>
      <c r="D126" s="38" t="s">
        <v>184</v>
      </c>
      <c r="E126" s="40" t="s">
        <v>49</v>
      </c>
      <c r="F126" s="40" t="s">
        <v>177</v>
      </c>
      <c r="G126" s="41">
        <v>4</v>
      </c>
      <c r="H126" s="41">
        <v>1</v>
      </c>
      <c r="I126" s="41">
        <f t="shared" si="4"/>
        <v>-3</v>
      </c>
      <c r="J126" s="45"/>
      <c r="K126" s="43" t="s">
        <v>361</v>
      </c>
    </row>
    <row r="127" spans="1:11" ht="12.5" x14ac:dyDescent="0.25">
      <c r="A127" s="37">
        <v>45636</v>
      </c>
      <c r="B127" s="38" t="s">
        <v>54</v>
      </c>
      <c r="C127" s="39" t="s">
        <v>250</v>
      </c>
      <c r="D127" s="38" t="s">
        <v>185</v>
      </c>
      <c r="E127" s="40" t="s">
        <v>49</v>
      </c>
      <c r="F127" s="40" t="s">
        <v>177</v>
      </c>
      <c r="G127" s="41">
        <v>2</v>
      </c>
      <c r="H127" s="41">
        <v>2</v>
      </c>
      <c r="I127" s="41">
        <f t="shared" si="4"/>
        <v>0</v>
      </c>
      <c r="J127" s="53" t="s">
        <v>379</v>
      </c>
      <c r="K127" s="43"/>
    </row>
    <row r="128" spans="1:11" ht="12.5" x14ac:dyDescent="0.25">
      <c r="A128" s="37" t="s">
        <v>200</v>
      </c>
      <c r="B128" s="38" t="s">
        <v>54</v>
      </c>
      <c r="C128" s="39" t="s">
        <v>262</v>
      </c>
      <c r="D128" s="38" t="s">
        <v>186</v>
      </c>
      <c r="E128" s="40" t="s">
        <v>66</v>
      </c>
      <c r="F128" s="40" t="s">
        <v>104</v>
      </c>
      <c r="G128" s="41">
        <v>4</v>
      </c>
      <c r="H128" s="41">
        <v>3</v>
      </c>
      <c r="I128" s="41">
        <f t="shared" si="4"/>
        <v>-1</v>
      </c>
      <c r="J128" s="45"/>
      <c r="K128" s="43"/>
    </row>
    <row r="129" spans="1:11" ht="12.5" x14ac:dyDescent="0.25">
      <c r="A129" s="37">
        <v>45638</v>
      </c>
      <c r="B129" s="38" t="s">
        <v>54</v>
      </c>
      <c r="C129" s="39" t="s">
        <v>263</v>
      </c>
      <c r="D129" s="38" t="s">
        <v>192</v>
      </c>
      <c r="E129" s="40" t="s">
        <v>66</v>
      </c>
      <c r="F129" s="40" t="s">
        <v>104</v>
      </c>
      <c r="G129" s="41">
        <v>1.5</v>
      </c>
      <c r="H129" s="41">
        <v>1</v>
      </c>
      <c r="I129" s="41">
        <f t="shared" si="4"/>
        <v>-0.5</v>
      </c>
      <c r="J129" s="53" t="s">
        <v>370</v>
      </c>
      <c r="K129" s="43"/>
    </row>
    <row r="130" spans="1:11" ht="12.5" x14ac:dyDescent="0.25">
      <c r="A130" s="37">
        <v>45638</v>
      </c>
      <c r="B130" s="38" t="s">
        <v>54</v>
      </c>
      <c r="C130" s="39" t="s">
        <v>263</v>
      </c>
      <c r="D130" s="38" t="s">
        <v>191</v>
      </c>
      <c r="E130" s="40" t="s">
        <v>66</v>
      </c>
      <c r="F130" s="40" t="s">
        <v>104</v>
      </c>
      <c r="G130" s="41">
        <v>1.5</v>
      </c>
      <c r="H130" s="41">
        <v>1</v>
      </c>
      <c r="I130" s="41">
        <f t="shared" si="4"/>
        <v>-0.5</v>
      </c>
      <c r="J130" s="53" t="s">
        <v>370</v>
      </c>
      <c r="K130" s="43"/>
    </row>
    <row r="131" spans="1:11" ht="12.5" x14ac:dyDescent="0.25">
      <c r="A131" s="37">
        <v>45638</v>
      </c>
      <c r="B131" s="38" t="s">
        <v>54</v>
      </c>
      <c r="C131" s="39" t="s">
        <v>263</v>
      </c>
      <c r="D131" s="38" t="s">
        <v>190</v>
      </c>
      <c r="E131" s="40" t="s">
        <v>66</v>
      </c>
      <c r="F131" s="40" t="s">
        <v>104</v>
      </c>
      <c r="G131" s="41">
        <v>1.5</v>
      </c>
      <c r="H131" s="41">
        <v>1</v>
      </c>
      <c r="I131" s="41">
        <f t="shared" si="4"/>
        <v>-0.5</v>
      </c>
      <c r="J131" s="53" t="s">
        <v>370</v>
      </c>
      <c r="K131" s="43"/>
    </row>
    <row r="132" spans="1:11" ht="12.5" x14ac:dyDescent="0.25">
      <c r="A132" s="37">
        <v>45638</v>
      </c>
      <c r="B132" s="38" t="s">
        <v>54</v>
      </c>
      <c r="C132" s="39" t="s">
        <v>263</v>
      </c>
      <c r="D132" s="38" t="s">
        <v>189</v>
      </c>
      <c r="E132" s="40" t="s">
        <v>66</v>
      </c>
      <c r="F132" s="40" t="s">
        <v>104</v>
      </c>
      <c r="G132" s="41">
        <v>1.5</v>
      </c>
      <c r="H132" s="41">
        <v>1</v>
      </c>
      <c r="I132" s="41">
        <f t="shared" si="4"/>
        <v>-0.5</v>
      </c>
      <c r="J132" s="53" t="s">
        <v>370</v>
      </c>
      <c r="K132" s="43"/>
    </row>
    <row r="133" spans="1:11" ht="12.5" x14ac:dyDescent="0.25">
      <c r="A133" s="37">
        <v>45638</v>
      </c>
      <c r="B133" s="38" t="s">
        <v>54</v>
      </c>
      <c r="C133" s="39" t="s">
        <v>263</v>
      </c>
      <c r="D133" s="38" t="s">
        <v>188</v>
      </c>
      <c r="E133" s="40" t="s">
        <v>66</v>
      </c>
      <c r="F133" s="40" t="s">
        <v>104</v>
      </c>
      <c r="G133" s="41">
        <v>1.5</v>
      </c>
      <c r="H133" s="41">
        <v>1</v>
      </c>
      <c r="I133" s="41">
        <f t="shared" si="4"/>
        <v>-0.5</v>
      </c>
      <c r="J133" s="53" t="s">
        <v>370</v>
      </c>
      <c r="K133" s="43"/>
    </row>
    <row r="134" spans="1:11" ht="12.5" x14ac:dyDescent="0.25">
      <c r="A134" s="37">
        <v>45638</v>
      </c>
      <c r="B134" s="38" t="s">
        <v>54</v>
      </c>
      <c r="C134" s="39" t="s">
        <v>263</v>
      </c>
      <c r="D134" s="38" t="s">
        <v>193</v>
      </c>
      <c r="E134" s="40" t="s">
        <v>66</v>
      </c>
      <c r="F134" s="40" t="s">
        <v>104</v>
      </c>
      <c r="G134" s="41">
        <v>0.5</v>
      </c>
      <c r="H134" s="41">
        <v>1</v>
      </c>
      <c r="I134" s="41">
        <f t="shared" si="4"/>
        <v>0.5</v>
      </c>
      <c r="J134" s="45"/>
      <c r="K134" s="43"/>
    </row>
    <row r="135" spans="1:11" ht="12.5" x14ac:dyDescent="0.25">
      <c r="A135" s="37">
        <v>45638</v>
      </c>
      <c r="B135" s="38" t="s">
        <v>54</v>
      </c>
      <c r="C135" s="39" t="s">
        <v>263</v>
      </c>
      <c r="D135" s="38" t="s">
        <v>187</v>
      </c>
      <c r="E135" s="40" t="s">
        <v>55</v>
      </c>
      <c r="F135" s="40" t="s">
        <v>104</v>
      </c>
      <c r="G135" s="41">
        <v>0.5</v>
      </c>
      <c r="H135" s="41">
        <v>0.5</v>
      </c>
      <c r="I135" s="41">
        <f t="shared" si="4"/>
        <v>0</v>
      </c>
      <c r="J135" s="53" t="s">
        <v>388</v>
      </c>
      <c r="K135" s="43"/>
    </row>
    <row r="136" spans="1:11" ht="12.5" x14ac:dyDescent="0.25">
      <c r="A136" s="37">
        <v>45639</v>
      </c>
      <c r="B136" s="38" t="s">
        <v>54</v>
      </c>
      <c r="C136" s="39" t="s">
        <v>77</v>
      </c>
      <c r="D136" s="38" t="s">
        <v>77</v>
      </c>
      <c r="E136" s="40" t="s">
        <v>46</v>
      </c>
      <c r="F136" s="40" t="s">
        <v>104</v>
      </c>
      <c r="G136" s="41">
        <v>0.25</v>
      </c>
      <c r="H136" s="41">
        <v>0.25</v>
      </c>
      <c r="I136" s="41">
        <f t="shared" si="4"/>
        <v>0</v>
      </c>
      <c r="J136" s="45"/>
      <c r="K136" s="43"/>
    </row>
    <row r="137" spans="1:11" ht="12.5" x14ac:dyDescent="0.25">
      <c r="A137" s="37">
        <v>45639</v>
      </c>
      <c r="B137" s="38" t="s">
        <v>54</v>
      </c>
      <c r="C137" s="39" t="s">
        <v>250</v>
      </c>
      <c r="D137" s="38" t="s">
        <v>195</v>
      </c>
      <c r="E137" s="40" t="s">
        <v>49</v>
      </c>
      <c r="F137" s="40" t="s">
        <v>177</v>
      </c>
      <c r="G137" s="41">
        <v>4</v>
      </c>
      <c r="H137" s="41">
        <v>3</v>
      </c>
      <c r="I137" s="41">
        <f t="shared" si="4"/>
        <v>-1</v>
      </c>
      <c r="J137" s="53" t="s">
        <v>371</v>
      </c>
      <c r="K137" s="43" t="s">
        <v>387</v>
      </c>
    </row>
    <row r="138" spans="1:11" ht="12.5" x14ac:dyDescent="0.25">
      <c r="A138" s="37">
        <v>45639</v>
      </c>
      <c r="B138" s="38" t="s">
        <v>54</v>
      </c>
      <c r="C138" s="39" t="s">
        <v>79</v>
      </c>
      <c r="D138" s="38" t="s">
        <v>259</v>
      </c>
      <c r="E138" s="40" t="s">
        <v>61</v>
      </c>
      <c r="F138" s="40" t="s">
        <v>86</v>
      </c>
      <c r="G138" s="41">
        <v>0.5</v>
      </c>
      <c r="H138" s="41">
        <v>0.5</v>
      </c>
      <c r="I138" s="41">
        <f t="shared" si="4"/>
        <v>0</v>
      </c>
      <c r="J138" s="45"/>
      <c r="K138" s="43" t="s">
        <v>365</v>
      </c>
    </row>
    <row r="139" spans="1:11" ht="12.5" x14ac:dyDescent="0.25">
      <c r="A139" s="37">
        <v>45639</v>
      </c>
      <c r="B139" s="38" t="s">
        <v>54</v>
      </c>
      <c r="C139" s="39" t="s">
        <v>65</v>
      </c>
      <c r="D139" s="38" t="s">
        <v>232</v>
      </c>
      <c r="E139" s="40" t="s">
        <v>65</v>
      </c>
      <c r="F139" s="40" t="s">
        <v>104</v>
      </c>
      <c r="G139" s="41">
        <v>1</v>
      </c>
      <c r="H139" s="41">
        <v>1.45</v>
      </c>
      <c r="I139" s="41">
        <f t="shared" si="4"/>
        <v>0.44999999999999996</v>
      </c>
      <c r="J139" s="45"/>
      <c r="K139" s="43"/>
    </row>
    <row r="140" spans="1:11" ht="12.5" x14ac:dyDescent="0.25">
      <c r="A140" s="37">
        <v>45639</v>
      </c>
      <c r="B140" s="38" t="s">
        <v>54</v>
      </c>
      <c r="C140" s="39" t="s">
        <v>249</v>
      </c>
      <c r="D140" s="38" t="s">
        <v>196</v>
      </c>
      <c r="E140" s="40" t="s">
        <v>46</v>
      </c>
      <c r="F140" s="40" t="s">
        <v>86</v>
      </c>
      <c r="G140" s="41">
        <v>0.25</v>
      </c>
      <c r="H140" s="41">
        <v>0.25</v>
      </c>
      <c r="I140" s="41">
        <f t="shared" si="4"/>
        <v>0</v>
      </c>
      <c r="J140" s="45"/>
      <c r="K140" s="43"/>
    </row>
    <row r="141" spans="1:11" ht="12.5" x14ac:dyDescent="0.25">
      <c r="A141" s="37">
        <v>45640</v>
      </c>
      <c r="B141" s="38" t="s">
        <v>54</v>
      </c>
      <c r="C141" s="39" t="s">
        <v>264</v>
      </c>
      <c r="D141" s="38" t="s">
        <v>233</v>
      </c>
      <c r="E141" s="40" t="s">
        <v>49</v>
      </c>
      <c r="F141" s="40" t="s">
        <v>88</v>
      </c>
      <c r="G141" s="41">
        <v>2</v>
      </c>
      <c r="H141" s="41">
        <v>2</v>
      </c>
      <c r="I141" s="41">
        <f t="shared" si="4"/>
        <v>0</v>
      </c>
      <c r="J141" s="53" t="s">
        <v>389</v>
      </c>
      <c r="K141" s="43"/>
    </row>
    <row r="142" spans="1:11" ht="12.5" x14ac:dyDescent="0.25">
      <c r="A142" s="37">
        <v>45641</v>
      </c>
      <c r="B142" s="38" t="s">
        <v>54</v>
      </c>
      <c r="C142" s="39" t="s">
        <v>264</v>
      </c>
      <c r="D142" s="38" t="s">
        <v>234</v>
      </c>
      <c r="E142" s="40" t="s">
        <v>49</v>
      </c>
      <c r="F142" s="40" t="s">
        <v>88</v>
      </c>
      <c r="G142" s="41">
        <v>3</v>
      </c>
      <c r="H142" s="41">
        <v>3</v>
      </c>
      <c r="I142" s="41">
        <f t="shared" si="4"/>
        <v>0</v>
      </c>
      <c r="J142" s="53" t="s">
        <v>389</v>
      </c>
      <c r="K142" s="43"/>
    </row>
    <row r="143" spans="1:11" ht="12.5" x14ac:dyDescent="0.25">
      <c r="A143" s="37">
        <v>45643</v>
      </c>
      <c r="B143" s="38" t="s">
        <v>54</v>
      </c>
      <c r="C143" s="39" t="s">
        <v>197</v>
      </c>
      <c r="D143" s="38" t="s">
        <v>199</v>
      </c>
      <c r="E143" s="40" t="s">
        <v>63</v>
      </c>
      <c r="F143" s="40" t="s">
        <v>87</v>
      </c>
      <c r="G143" s="41">
        <v>0.5</v>
      </c>
      <c r="H143" s="41">
        <v>0.5</v>
      </c>
      <c r="I143" s="41">
        <f t="shared" si="4"/>
        <v>0</v>
      </c>
      <c r="J143" s="45"/>
      <c r="K143" s="43" t="s">
        <v>365</v>
      </c>
    </row>
    <row r="144" spans="1:11" ht="12.5" x14ac:dyDescent="0.25">
      <c r="A144" s="37">
        <v>45643</v>
      </c>
      <c r="B144" s="38" t="s">
        <v>54</v>
      </c>
      <c r="C144" s="39" t="s">
        <v>197</v>
      </c>
      <c r="D144" s="38" t="s">
        <v>326</v>
      </c>
      <c r="E144" s="40" t="s">
        <v>63</v>
      </c>
      <c r="F144" s="40" t="s">
        <v>87</v>
      </c>
      <c r="G144" s="41">
        <v>0.5</v>
      </c>
      <c r="H144" s="41">
        <v>0.25</v>
      </c>
      <c r="I144" s="41">
        <f t="shared" si="4"/>
        <v>-0.25</v>
      </c>
      <c r="J144" s="45"/>
      <c r="K144" s="43" t="s">
        <v>365</v>
      </c>
    </row>
    <row r="145" spans="1:11" ht="12.5" x14ac:dyDescent="0.25">
      <c r="A145" s="37">
        <v>45643</v>
      </c>
      <c r="B145" s="38" t="s">
        <v>54</v>
      </c>
      <c r="C145" s="39" t="s">
        <v>79</v>
      </c>
      <c r="D145" s="38" t="s">
        <v>327</v>
      </c>
      <c r="E145" s="40" t="s">
        <v>63</v>
      </c>
      <c r="F145" s="40" t="s">
        <v>86</v>
      </c>
      <c r="G145" s="41">
        <v>0.5</v>
      </c>
      <c r="H145" s="41">
        <v>0.25</v>
      </c>
      <c r="I145" s="41">
        <f t="shared" si="4"/>
        <v>-0.25</v>
      </c>
      <c r="J145" s="45"/>
      <c r="K145" s="43" t="s">
        <v>365</v>
      </c>
    </row>
    <row r="146" spans="1:11" ht="12.5" x14ac:dyDescent="0.25">
      <c r="A146" s="13"/>
      <c r="B146" s="15"/>
      <c r="C146" s="15"/>
      <c r="D146" s="15"/>
      <c r="E146" s="15" t="s">
        <v>18</v>
      </c>
      <c r="F146" s="15"/>
      <c r="G146" s="18">
        <f>SUM(G117:G145)</f>
        <v>40.5</v>
      </c>
      <c r="H146" s="18">
        <f>SUM(H117:H145)</f>
        <v>31.95</v>
      </c>
      <c r="I146" s="18">
        <f t="shared" si="4"/>
        <v>-8.5500000000000007</v>
      </c>
      <c r="J146" s="19"/>
      <c r="K146" s="46"/>
    </row>
    <row r="147" spans="1:11" ht="18.75" customHeight="1" x14ac:dyDescent="0.25">
      <c r="A147" s="75" t="s">
        <v>23</v>
      </c>
      <c r="B147" s="64"/>
      <c r="C147" s="64"/>
      <c r="D147" s="64"/>
      <c r="E147" s="64"/>
      <c r="F147" s="64"/>
      <c r="G147" s="64"/>
      <c r="H147" s="64"/>
      <c r="I147" s="64"/>
      <c r="J147" s="64"/>
      <c r="K147" s="65"/>
    </row>
    <row r="148" spans="1:11" ht="12.5" x14ac:dyDescent="0.25">
      <c r="A148" s="25" t="s">
        <v>12</v>
      </c>
      <c r="B148" s="76" t="s">
        <v>13</v>
      </c>
      <c r="C148" s="64"/>
      <c r="D148" s="64"/>
      <c r="E148" s="64"/>
      <c r="F148" s="64"/>
      <c r="G148" s="64"/>
      <c r="H148" s="64"/>
      <c r="I148" s="64"/>
      <c r="J148" s="64"/>
      <c r="K148" s="65"/>
    </row>
    <row r="149" spans="1:11" ht="27.75" customHeight="1" x14ac:dyDescent="0.25">
      <c r="A149" s="26" t="s">
        <v>14</v>
      </c>
      <c r="B149" s="76" t="s">
        <v>15</v>
      </c>
      <c r="C149" s="64"/>
      <c r="D149" s="64"/>
      <c r="E149" s="64"/>
      <c r="F149" s="64"/>
      <c r="G149" s="64"/>
      <c r="H149" s="64"/>
      <c r="I149" s="64"/>
      <c r="J149" s="64"/>
      <c r="K149" s="65"/>
    </row>
    <row r="150" spans="1:11" ht="12.5" x14ac:dyDescent="0.25">
      <c r="A150" s="37">
        <v>45642</v>
      </c>
      <c r="B150" s="38" t="s">
        <v>54</v>
      </c>
      <c r="C150" s="39" t="s">
        <v>79</v>
      </c>
      <c r="D150" s="38" t="s">
        <v>201</v>
      </c>
      <c r="E150" s="40" t="s">
        <v>61</v>
      </c>
      <c r="F150" s="40" t="s">
        <v>86</v>
      </c>
      <c r="G150" s="41">
        <v>0.25</v>
      </c>
      <c r="H150" s="41">
        <v>0.25</v>
      </c>
      <c r="I150" s="41">
        <f t="shared" ref="I150:I189" si="5">H150-G150</f>
        <v>0</v>
      </c>
      <c r="J150" s="45"/>
      <c r="K150" s="43" t="s">
        <v>365</v>
      </c>
    </row>
    <row r="151" spans="1:11" ht="12.5" x14ac:dyDescent="0.25">
      <c r="A151" s="37">
        <v>45642</v>
      </c>
      <c r="B151" s="38" t="s">
        <v>54</v>
      </c>
      <c r="C151" s="39" t="s">
        <v>197</v>
      </c>
      <c r="D151" s="38" t="s">
        <v>202</v>
      </c>
      <c r="E151" s="40" t="s">
        <v>61</v>
      </c>
      <c r="F151" s="40" t="s">
        <v>87</v>
      </c>
      <c r="G151" s="41">
        <v>0.25</v>
      </c>
      <c r="H151" s="41">
        <v>0.25</v>
      </c>
      <c r="I151" s="41">
        <f t="shared" si="5"/>
        <v>0</v>
      </c>
      <c r="J151" s="45"/>
      <c r="K151" s="43" t="s">
        <v>365</v>
      </c>
    </row>
    <row r="152" spans="1:11" ht="12.5" x14ac:dyDescent="0.25">
      <c r="A152" s="37">
        <v>45642</v>
      </c>
      <c r="B152" s="38" t="s">
        <v>54</v>
      </c>
      <c r="C152" s="39" t="s">
        <v>214</v>
      </c>
      <c r="D152" s="38" t="s">
        <v>203</v>
      </c>
      <c r="E152" s="40" t="s">
        <v>55</v>
      </c>
      <c r="F152" s="40" t="s">
        <v>88</v>
      </c>
      <c r="G152" s="41">
        <v>1</v>
      </c>
      <c r="H152" s="41">
        <v>1</v>
      </c>
      <c r="I152" s="41">
        <f t="shared" si="5"/>
        <v>0</v>
      </c>
      <c r="J152" s="53" t="s">
        <v>390</v>
      </c>
      <c r="K152" s="43"/>
    </row>
    <row r="153" spans="1:11" ht="12.5" x14ac:dyDescent="0.25">
      <c r="A153" s="37">
        <v>45642</v>
      </c>
      <c r="B153" s="38" t="s">
        <v>54</v>
      </c>
      <c r="C153" s="39" t="s">
        <v>266</v>
      </c>
      <c r="D153" s="38" t="s">
        <v>265</v>
      </c>
      <c r="E153" s="40" t="s">
        <v>49</v>
      </c>
      <c r="F153" s="40" t="s">
        <v>88</v>
      </c>
      <c r="G153" s="41">
        <v>0.5</v>
      </c>
      <c r="H153" s="41">
        <v>0.5</v>
      </c>
      <c r="I153" s="41">
        <f t="shared" si="5"/>
        <v>0</v>
      </c>
      <c r="J153" s="45"/>
      <c r="K153" s="43"/>
    </row>
    <row r="154" spans="1:11" ht="12.5" x14ac:dyDescent="0.25">
      <c r="A154" s="37">
        <v>45642</v>
      </c>
      <c r="B154" s="38" t="s">
        <v>54</v>
      </c>
      <c r="C154" s="39" t="s">
        <v>204</v>
      </c>
      <c r="D154" s="38" t="s">
        <v>205</v>
      </c>
      <c r="E154" s="40" t="s">
        <v>66</v>
      </c>
      <c r="F154" s="40" t="s">
        <v>104</v>
      </c>
      <c r="G154" s="41">
        <v>1.5</v>
      </c>
      <c r="H154" s="41">
        <v>1</v>
      </c>
      <c r="I154" s="41">
        <f t="shared" si="5"/>
        <v>-0.5</v>
      </c>
      <c r="J154" s="53" t="s">
        <v>370</v>
      </c>
      <c r="K154" s="43"/>
    </row>
    <row r="155" spans="1:11" ht="12.5" x14ac:dyDescent="0.25">
      <c r="A155" s="37">
        <v>45642</v>
      </c>
      <c r="B155" s="38" t="s">
        <v>54</v>
      </c>
      <c r="C155" s="39" t="s">
        <v>204</v>
      </c>
      <c r="D155" s="38" t="s">
        <v>206</v>
      </c>
      <c r="E155" s="40" t="s">
        <v>66</v>
      </c>
      <c r="F155" s="40" t="s">
        <v>104</v>
      </c>
      <c r="G155" s="41">
        <v>2</v>
      </c>
      <c r="H155" s="41">
        <v>1.5</v>
      </c>
      <c r="I155" s="41">
        <f t="shared" si="5"/>
        <v>-0.5</v>
      </c>
      <c r="J155" s="53" t="s">
        <v>370</v>
      </c>
      <c r="K155" s="43"/>
    </row>
    <row r="156" spans="1:11" ht="12.5" x14ac:dyDescent="0.25">
      <c r="A156" s="37">
        <v>45642</v>
      </c>
      <c r="B156" s="38" t="s">
        <v>54</v>
      </c>
      <c r="C156" s="39" t="s">
        <v>204</v>
      </c>
      <c r="D156" s="38" t="s">
        <v>207</v>
      </c>
      <c r="E156" s="40" t="s">
        <v>66</v>
      </c>
      <c r="F156" s="40" t="s">
        <v>104</v>
      </c>
      <c r="G156" s="41">
        <v>2</v>
      </c>
      <c r="H156" s="41">
        <v>1.5</v>
      </c>
      <c r="I156" s="41">
        <f t="shared" si="5"/>
        <v>-0.5</v>
      </c>
      <c r="J156" s="53" t="s">
        <v>370</v>
      </c>
      <c r="K156" s="43"/>
    </row>
    <row r="157" spans="1:11" ht="12.5" x14ac:dyDescent="0.25">
      <c r="A157" s="37">
        <v>45642</v>
      </c>
      <c r="B157" s="38" t="s">
        <v>54</v>
      </c>
      <c r="C157" s="39" t="s">
        <v>204</v>
      </c>
      <c r="D157" s="38" t="s">
        <v>208</v>
      </c>
      <c r="E157" s="40" t="s">
        <v>66</v>
      </c>
      <c r="F157" s="40" t="s">
        <v>104</v>
      </c>
      <c r="G157" s="41">
        <v>2</v>
      </c>
      <c r="H157" s="41">
        <v>1.5</v>
      </c>
      <c r="I157" s="41">
        <f t="shared" si="5"/>
        <v>-0.5</v>
      </c>
      <c r="J157" s="53" t="s">
        <v>370</v>
      </c>
      <c r="K157" s="43"/>
    </row>
    <row r="158" spans="1:11" ht="12.5" x14ac:dyDescent="0.25">
      <c r="A158" s="37">
        <v>45642</v>
      </c>
      <c r="B158" s="38" t="s">
        <v>54</v>
      </c>
      <c r="C158" s="39" t="s">
        <v>210</v>
      </c>
      <c r="D158" s="38" t="s">
        <v>211</v>
      </c>
      <c r="E158" s="40" t="s">
        <v>52</v>
      </c>
      <c r="F158" s="40" t="s">
        <v>104</v>
      </c>
      <c r="G158" s="41">
        <v>1</v>
      </c>
      <c r="H158" s="41">
        <v>1</v>
      </c>
      <c r="I158" s="41">
        <f t="shared" si="5"/>
        <v>0</v>
      </c>
      <c r="J158" s="45"/>
      <c r="K158" s="43"/>
    </row>
    <row r="159" spans="1:11" ht="12.5" x14ac:dyDescent="0.25">
      <c r="A159" s="37">
        <v>45642</v>
      </c>
      <c r="B159" s="38" t="s">
        <v>54</v>
      </c>
      <c r="C159" s="39" t="s">
        <v>210</v>
      </c>
      <c r="D159" s="38" t="s">
        <v>209</v>
      </c>
      <c r="E159" s="40" t="s">
        <v>55</v>
      </c>
      <c r="F159" s="40" t="s">
        <v>104</v>
      </c>
      <c r="G159" s="41">
        <v>0.5</v>
      </c>
      <c r="H159" s="41">
        <v>0.25</v>
      </c>
      <c r="I159" s="41">
        <f t="shared" si="5"/>
        <v>-0.25</v>
      </c>
      <c r="J159" s="53" t="s">
        <v>391</v>
      </c>
      <c r="K159" s="43"/>
    </row>
    <row r="160" spans="1:11" ht="12.5" x14ac:dyDescent="0.25">
      <c r="A160" s="37">
        <v>45642</v>
      </c>
      <c r="B160" s="38" t="s">
        <v>54</v>
      </c>
      <c r="C160" s="39" t="s">
        <v>213</v>
      </c>
      <c r="D160" s="38" t="s">
        <v>212</v>
      </c>
      <c r="E160" s="40" t="s">
        <v>55</v>
      </c>
      <c r="F160" s="40" t="s">
        <v>88</v>
      </c>
      <c r="G160" s="41">
        <v>0.16</v>
      </c>
      <c r="H160" s="41">
        <v>0.16</v>
      </c>
      <c r="I160" s="41">
        <f t="shared" si="5"/>
        <v>0</v>
      </c>
      <c r="J160" s="45"/>
      <c r="K160" s="43"/>
    </row>
    <row r="161" spans="1:11" ht="12.5" x14ac:dyDescent="0.25">
      <c r="A161" s="37">
        <v>45642</v>
      </c>
      <c r="B161" s="38" t="s">
        <v>54</v>
      </c>
      <c r="C161" s="39" t="s">
        <v>215</v>
      </c>
      <c r="D161" s="38" t="s">
        <v>219</v>
      </c>
      <c r="E161" s="40" t="s">
        <v>66</v>
      </c>
      <c r="F161" s="40" t="s">
        <v>104</v>
      </c>
      <c r="G161" s="41">
        <v>1.5</v>
      </c>
      <c r="H161" s="41">
        <v>1</v>
      </c>
      <c r="I161" s="41">
        <f t="shared" si="5"/>
        <v>-0.5</v>
      </c>
      <c r="J161" s="53" t="s">
        <v>370</v>
      </c>
      <c r="K161" s="43"/>
    </row>
    <row r="162" spans="1:11" ht="12.5" x14ac:dyDescent="0.25">
      <c r="A162" s="37">
        <v>45642</v>
      </c>
      <c r="B162" s="38" t="s">
        <v>54</v>
      </c>
      <c r="C162" s="39" t="s">
        <v>215</v>
      </c>
      <c r="D162" s="38" t="s">
        <v>220</v>
      </c>
      <c r="E162" s="40" t="s">
        <v>66</v>
      </c>
      <c r="F162" s="40" t="s">
        <v>104</v>
      </c>
      <c r="G162" s="41">
        <v>2</v>
      </c>
      <c r="H162" s="41">
        <v>1</v>
      </c>
      <c r="I162" s="41">
        <f t="shared" si="5"/>
        <v>-1</v>
      </c>
      <c r="J162" s="53" t="s">
        <v>370</v>
      </c>
      <c r="K162" s="43"/>
    </row>
    <row r="163" spans="1:11" ht="12.5" x14ac:dyDescent="0.25">
      <c r="A163" s="37">
        <v>45642</v>
      </c>
      <c r="B163" s="38" t="s">
        <v>54</v>
      </c>
      <c r="C163" s="39" t="s">
        <v>215</v>
      </c>
      <c r="D163" s="38" t="s">
        <v>221</v>
      </c>
      <c r="E163" s="40" t="s">
        <v>66</v>
      </c>
      <c r="F163" s="40" t="s">
        <v>104</v>
      </c>
      <c r="G163" s="41">
        <v>2</v>
      </c>
      <c r="H163" s="41">
        <v>1</v>
      </c>
      <c r="I163" s="41">
        <f t="shared" si="5"/>
        <v>-1</v>
      </c>
      <c r="J163" s="53" t="s">
        <v>370</v>
      </c>
      <c r="K163" s="43"/>
    </row>
    <row r="164" spans="1:11" ht="12.5" x14ac:dyDescent="0.25">
      <c r="A164" s="37">
        <v>45642</v>
      </c>
      <c r="B164" s="38" t="s">
        <v>54</v>
      </c>
      <c r="C164" s="39" t="s">
        <v>215</v>
      </c>
      <c r="D164" s="38" t="s">
        <v>222</v>
      </c>
      <c r="E164" s="40" t="s">
        <v>66</v>
      </c>
      <c r="F164" s="40" t="s">
        <v>104</v>
      </c>
      <c r="G164" s="41">
        <v>2</v>
      </c>
      <c r="H164" s="41">
        <v>1</v>
      </c>
      <c r="I164" s="41">
        <f t="shared" si="5"/>
        <v>-1</v>
      </c>
      <c r="J164" s="53" t="s">
        <v>370</v>
      </c>
      <c r="K164" s="43"/>
    </row>
    <row r="165" spans="1:11" ht="12.5" x14ac:dyDescent="0.25">
      <c r="A165" s="37">
        <v>45642</v>
      </c>
      <c r="B165" s="38" t="s">
        <v>54</v>
      </c>
      <c r="C165" s="39" t="s">
        <v>216</v>
      </c>
      <c r="D165" s="38" t="s">
        <v>217</v>
      </c>
      <c r="E165" s="40" t="s">
        <v>52</v>
      </c>
      <c r="F165" s="40" t="s">
        <v>104</v>
      </c>
      <c r="G165" s="41">
        <v>1</v>
      </c>
      <c r="H165" s="41">
        <v>1</v>
      </c>
      <c r="I165" s="41">
        <f t="shared" si="5"/>
        <v>0</v>
      </c>
      <c r="J165" s="45"/>
      <c r="K165" s="43"/>
    </row>
    <row r="166" spans="1:11" ht="12.5" x14ac:dyDescent="0.25">
      <c r="A166" s="37">
        <v>45642</v>
      </c>
      <c r="B166" s="38" t="s">
        <v>54</v>
      </c>
      <c r="C166" s="39" t="s">
        <v>216</v>
      </c>
      <c r="D166" s="38" t="s">
        <v>218</v>
      </c>
      <c r="E166" s="40" t="s">
        <v>55</v>
      </c>
      <c r="F166" s="40" t="s">
        <v>104</v>
      </c>
      <c r="G166" s="41">
        <v>0.5</v>
      </c>
      <c r="H166" s="41">
        <v>0.5</v>
      </c>
      <c r="I166" s="41">
        <f t="shared" si="5"/>
        <v>0</v>
      </c>
      <c r="J166" s="53" t="s">
        <v>392</v>
      </c>
      <c r="K166" s="43"/>
    </row>
    <row r="167" spans="1:11" ht="12.5" x14ac:dyDescent="0.25">
      <c r="A167" s="37">
        <v>45643</v>
      </c>
      <c r="B167" s="38" t="s">
        <v>54</v>
      </c>
      <c r="C167" s="39" t="s">
        <v>79</v>
      </c>
      <c r="D167" s="38" t="s">
        <v>224</v>
      </c>
      <c r="E167" s="40" t="s">
        <v>61</v>
      </c>
      <c r="F167" s="40" t="s">
        <v>86</v>
      </c>
      <c r="G167" s="41">
        <v>0.25</v>
      </c>
      <c r="H167" s="41">
        <v>0.25</v>
      </c>
      <c r="I167" s="41">
        <f t="shared" si="5"/>
        <v>0</v>
      </c>
      <c r="J167" s="45"/>
      <c r="K167" s="43" t="s">
        <v>365</v>
      </c>
    </row>
    <row r="168" spans="1:11" ht="12.5" x14ac:dyDescent="0.25">
      <c r="A168" s="37">
        <v>45643</v>
      </c>
      <c r="B168" s="38" t="s">
        <v>54</v>
      </c>
      <c r="C168" s="39" t="s">
        <v>77</v>
      </c>
      <c r="D168" s="38" t="s">
        <v>223</v>
      </c>
      <c r="E168" s="40" t="s">
        <v>46</v>
      </c>
      <c r="F168" s="40" t="s">
        <v>87</v>
      </c>
      <c r="G168" s="41">
        <v>0.25</v>
      </c>
      <c r="H168" s="41">
        <v>0.25</v>
      </c>
      <c r="I168" s="41">
        <f t="shared" si="5"/>
        <v>0</v>
      </c>
      <c r="J168" s="45"/>
      <c r="K168" s="43"/>
    </row>
    <row r="169" spans="1:11" ht="12.5" x14ac:dyDescent="0.25">
      <c r="A169" s="37">
        <v>45643</v>
      </c>
      <c r="B169" s="38" t="s">
        <v>54</v>
      </c>
      <c r="C169" s="39" t="s">
        <v>225</v>
      </c>
      <c r="D169" s="38" t="s">
        <v>226</v>
      </c>
      <c r="E169" s="40" t="s">
        <v>63</v>
      </c>
      <c r="F169" s="40" t="s">
        <v>86</v>
      </c>
      <c r="G169" s="41">
        <v>1</v>
      </c>
      <c r="H169" s="41">
        <v>0.5</v>
      </c>
      <c r="I169" s="41">
        <f t="shared" si="5"/>
        <v>-0.5</v>
      </c>
      <c r="J169" s="45"/>
      <c r="K169" s="43" t="s">
        <v>365</v>
      </c>
    </row>
    <row r="170" spans="1:11" ht="12.5" x14ac:dyDescent="0.25">
      <c r="A170" s="37">
        <v>45643</v>
      </c>
      <c r="B170" s="38" t="s">
        <v>54</v>
      </c>
      <c r="C170" s="39" t="s">
        <v>227</v>
      </c>
      <c r="D170" s="38" t="s">
        <v>228</v>
      </c>
      <c r="E170" s="40" t="s">
        <v>66</v>
      </c>
      <c r="F170" s="40" t="s">
        <v>104</v>
      </c>
      <c r="G170" s="41">
        <v>0.5</v>
      </c>
      <c r="H170" s="41">
        <v>0.5</v>
      </c>
      <c r="I170" s="41">
        <f t="shared" si="5"/>
        <v>0</v>
      </c>
      <c r="J170" s="53" t="s">
        <v>393</v>
      </c>
      <c r="K170" s="43"/>
    </row>
    <row r="171" spans="1:11" ht="12.5" x14ac:dyDescent="0.25">
      <c r="A171" s="37">
        <v>45643</v>
      </c>
      <c r="B171" s="38" t="s">
        <v>54</v>
      </c>
      <c r="C171" s="39" t="s">
        <v>227</v>
      </c>
      <c r="D171" s="38" t="s">
        <v>229</v>
      </c>
      <c r="E171" s="40" t="s">
        <v>58</v>
      </c>
      <c r="F171" s="40" t="s">
        <v>177</v>
      </c>
      <c r="G171" s="41">
        <v>1</v>
      </c>
      <c r="H171" s="41">
        <v>1.5</v>
      </c>
      <c r="I171" s="41">
        <f t="shared" si="5"/>
        <v>0.5</v>
      </c>
      <c r="J171" s="53" t="s">
        <v>393</v>
      </c>
      <c r="K171" s="43" t="s">
        <v>267</v>
      </c>
    </row>
    <row r="172" spans="1:11" ht="12.5" x14ac:dyDescent="0.25">
      <c r="A172" s="37">
        <v>45643</v>
      </c>
      <c r="B172" s="38" t="s">
        <v>54</v>
      </c>
      <c r="C172" s="39" t="s">
        <v>227</v>
      </c>
      <c r="D172" s="38" t="s">
        <v>230</v>
      </c>
      <c r="E172" s="40" t="s">
        <v>49</v>
      </c>
      <c r="F172" s="40" t="s">
        <v>177</v>
      </c>
      <c r="G172" s="41">
        <v>2</v>
      </c>
      <c r="H172" s="41">
        <v>2</v>
      </c>
      <c r="I172" s="41">
        <f t="shared" si="5"/>
        <v>0</v>
      </c>
      <c r="J172" s="53" t="s">
        <v>371</v>
      </c>
      <c r="K172" s="43"/>
    </row>
    <row r="173" spans="1:11" ht="12.5" x14ac:dyDescent="0.25">
      <c r="A173" s="37">
        <v>45643</v>
      </c>
      <c r="B173" s="38" t="s">
        <v>54</v>
      </c>
      <c r="C173" s="39" t="s">
        <v>227</v>
      </c>
      <c r="D173" s="38" t="s">
        <v>231</v>
      </c>
      <c r="E173" s="40" t="s">
        <v>49</v>
      </c>
      <c r="F173" s="40" t="s">
        <v>177</v>
      </c>
      <c r="G173" s="41">
        <v>2</v>
      </c>
      <c r="H173" s="41">
        <v>2</v>
      </c>
      <c r="I173" s="41">
        <f t="shared" si="5"/>
        <v>0</v>
      </c>
      <c r="J173" s="53" t="s">
        <v>371</v>
      </c>
      <c r="K173" s="43"/>
    </row>
    <row r="174" spans="1:11" ht="12.5" x14ac:dyDescent="0.25">
      <c r="A174" s="37">
        <v>45643</v>
      </c>
      <c r="B174" s="38" t="s">
        <v>54</v>
      </c>
      <c r="C174" s="39" t="s">
        <v>269</v>
      </c>
      <c r="D174" s="38" t="s">
        <v>270</v>
      </c>
      <c r="E174" s="40" t="s">
        <v>66</v>
      </c>
      <c r="F174" s="40" t="s">
        <v>104</v>
      </c>
      <c r="G174" s="41">
        <v>3</v>
      </c>
      <c r="H174" s="41">
        <v>1.5</v>
      </c>
      <c r="I174" s="41">
        <f t="shared" si="5"/>
        <v>-1.5</v>
      </c>
      <c r="J174" s="45"/>
      <c r="K174" s="43" t="s">
        <v>272</v>
      </c>
    </row>
    <row r="175" spans="1:11" ht="12.5" x14ac:dyDescent="0.25">
      <c r="A175" s="37">
        <v>45643</v>
      </c>
      <c r="B175" s="38" t="s">
        <v>54</v>
      </c>
      <c r="C175" s="39" t="s">
        <v>269</v>
      </c>
      <c r="D175" s="38" t="s">
        <v>268</v>
      </c>
      <c r="E175" s="40" t="s">
        <v>55</v>
      </c>
      <c r="F175" s="40" t="s">
        <v>177</v>
      </c>
      <c r="G175" s="41">
        <v>0.5</v>
      </c>
      <c r="H175" s="41">
        <v>0.25</v>
      </c>
      <c r="I175" s="41">
        <f t="shared" si="5"/>
        <v>-0.25</v>
      </c>
      <c r="J175" s="53" t="s">
        <v>394</v>
      </c>
      <c r="K175" s="43" t="s">
        <v>273</v>
      </c>
    </row>
    <row r="176" spans="1:11" ht="12.5" x14ac:dyDescent="0.25">
      <c r="A176" s="37">
        <v>45643</v>
      </c>
      <c r="B176" s="38" t="s">
        <v>54</v>
      </c>
      <c r="C176" s="39" t="s">
        <v>269</v>
      </c>
      <c r="D176" s="38" t="s">
        <v>271</v>
      </c>
      <c r="E176" s="40" t="s">
        <v>66</v>
      </c>
      <c r="F176" s="40" t="s">
        <v>104</v>
      </c>
      <c r="G176" s="41">
        <v>3</v>
      </c>
      <c r="H176" s="41">
        <v>2.5</v>
      </c>
      <c r="I176" s="41">
        <f t="shared" si="5"/>
        <v>-0.5</v>
      </c>
      <c r="J176" s="45"/>
      <c r="K176" s="43"/>
    </row>
    <row r="177" spans="1:11" ht="12.5" x14ac:dyDescent="0.25">
      <c r="A177" s="37">
        <v>45646</v>
      </c>
      <c r="B177" s="38" t="s">
        <v>54</v>
      </c>
      <c r="C177" s="39" t="s">
        <v>79</v>
      </c>
      <c r="D177" s="38" t="s">
        <v>259</v>
      </c>
      <c r="E177" s="40" t="s">
        <v>61</v>
      </c>
      <c r="F177" s="40" t="s">
        <v>86</v>
      </c>
      <c r="G177" s="41">
        <v>0.25</v>
      </c>
      <c r="H177" s="41">
        <v>0.25</v>
      </c>
      <c r="I177" s="41">
        <f t="shared" si="5"/>
        <v>0</v>
      </c>
      <c r="J177" s="45"/>
      <c r="K177" s="43" t="s">
        <v>365</v>
      </c>
    </row>
    <row r="178" spans="1:11" ht="12.5" x14ac:dyDescent="0.25">
      <c r="A178" s="37">
        <v>45646</v>
      </c>
      <c r="B178" s="38" t="s">
        <v>54</v>
      </c>
      <c r="C178" s="39" t="s">
        <v>77</v>
      </c>
      <c r="D178" s="38" t="s">
        <v>274</v>
      </c>
      <c r="E178" s="40" t="s">
        <v>46</v>
      </c>
      <c r="F178" s="40" t="s">
        <v>162</v>
      </c>
      <c r="G178" s="41">
        <v>0.25</v>
      </c>
      <c r="H178" s="41">
        <v>0.25</v>
      </c>
      <c r="I178" s="41">
        <f t="shared" si="5"/>
        <v>0</v>
      </c>
      <c r="J178" s="45"/>
      <c r="K178" s="43"/>
    </row>
    <row r="179" spans="1:11" ht="12.5" x14ac:dyDescent="0.25">
      <c r="A179" s="37">
        <v>45646</v>
      </c>
      <c r="B179" s="38" t="s">
        <v>54</v>
      </c>
      <c r="C179" s="39" t="s">
        <v>275</v>
      </c>
      <c r="D179" s="38" t="s">
        <v>276</v>
      </c>
      <c r="E179" s="40" t="s">
        <v>49</v>
      </c>
      <c r="F179" s="40" t="s">
        <v>104</v>
      </c>
      <c r="G179" s="41">
        <v>1</v>
      </c>
      <c r="H179" s="41">
        <v>3.25</v>
      </c>
      <c r="I179" s="41">
        <f t="shared" si="5"/>
        <v>2.25</v>
      </c>
      <c r="J179" s="53" t="s">
        <v>395</v>
      </c>
      <c r="K179" s="43" t="s">
        <v>325</v>
      </c>
    </row>
    <row r="180" spans="1:11" ht="12.5" x14ac:dyDescent="0.25">
      <c r="A180" s="37">
        <v>45646</v>
      </c>
      <c r="B180" s="38" t="s">
        <v>54</v>
      </c>
      <c r="C180" s="39" t="s">
        <v>65</v>
      </c>
      <c r="D180" s="38" t="s">
        <v>285</v>
      </c>
      <c r="E180" s="40" t="s">
        <v>65</v>
      </c>
      <c r="F180" s="40" t="s">
        <v>104</v>
      </c>
      <c r="G180" s="41">
        <v>0.25</v>
      </c>
      <c r="H180" s="41">
        <v>0.25</v>
      </c>
      <c r="I180" s="41">
        <f t="shared" si="5"/>
        <v>0</v>
      </c>
      <c r="J180" s="45"/>
      <c r="K180" s="43"/>
    </row>
    <row r="181" spans="1:11" ht="12.5" x14ac:dyDescent="0.25">
      <c r="A181" s="37">
        <v>45646</v>
      </c>
      <c r="B181" s="38" t="s">
        <v>54</v>
      </c>
      <c r="C181" s="39" t="s">
        <v>275</v>
      </c>
      <c r="D181" s="38" t="s">
        <v>284</v>
      </c>
      <c r="E181" s="40" t="s">
        <v>52</v>
      </c>
      <c r="F181" s="40" t="s">
        <v>104</v>
      </c>
      <c r="G181" s="41">
        <v>1</v>
      </c>
      <c r="H181" s="41">
        <v>1</v>
      </c>
      <c r="I181" s="41">
        <f t="shared" si="5"/>
        <v>0</v>
      </c>
      <c r="J181" s="53" t="s">
        <v>396</v>
      </c>
      <c r="K181" s="43"/>
    </row>
    <row r="182" spans="1:11" ht="12.5" x14ac:dyDescent="0.25">
      <c r="A182" s="37">
        <v>45646</v>
      </c>
      <c r="B182" s="38" t="s">
        <v>54</v>
      </c>
      <c r="C182" s="39" t="s">
        <v>250</v>
      </c>
      <c r="D182" s="38" t="s">
        <v>277</v>
      </c>
      <c r="E182" s="40" t="s">
        <v>49</v>
      </c>
      <c r="F182" s="40" t="s">
        <v>177</v>
      </c>
      <c r="G182" s="41">
        <v>1</v>
      </c>
      <c r="H182" s="41">
        <v>1</v>
      </c>
      <c r="I182" s="41">
        <f t="shared" si="5"/>
        <v>0</v>
      </c>
      <c r="J182" s="53" t="s">
        <v>371</v>
      </c>
      <c r="K182" s="43"/>
    </row>
    <row r="183" spans="1:11" ht="12.5" x14ac:dyDescent="0.25">
      <c r="A183" s="37">
        <v>45646</v>
      </c>
      <c r="B183" s="38" t="s">
        <v>54</v>
      </c>
      <c r="C183" s="39" t="s">
        <v>250</v>
      </c>
      <c r="D183" s="38" t="s">
        <v>278</v>
      </c>
      <c r="E183" s="40" t="s">
        <v>49</v>
      </c>
      <c r="F183" s="40" t="s">
        <v>177</v>
      </c>
      <c r="G183" s="41">
        <v>1</v>
      </c>
      <c r="H183" s="41">
        <v>1</v>
      </c>
      <c r="I183" s="41">
        <f t="shared" si="5"/>
        <v>0</v>
      </c>
      <c r="J183" s="53" t="s">
        <v>371</v>
      </c>
      <c r="K183" s="43"/>
    </row>
    <row r="184" spans="1:11" ht="12.5" x14ac:dyDescent="0.25">
      <c r="A184" s="37">
        <v>45646</v>
      </c>
      <c r="B184" s="38" t="s">
        <v>54</v>
      </c>
      <c r="C184" s="39" t="s">
        <v>250</v>
      </c>
      <c r="D184" s="38" t="s">
        <v>279</v>
      </c>
      <c r="E184" s="40" t="s">
        <v>49</v>
      </c>
      <c r="F184" s="40" t="s">
        <v>177</v>
      </c>
      <c r="G184" s="41">
        <v>1</v>
      </c>
      <c r="H184" s="41">
        <v>1</v>
      </c>
      <c r="I184" s="41">
        <f t="shared" si="5"/>
        <v>0</v>
      </c>
      <c r="J184" s="53" t="s">
        <v>371</v>
      </c>
      <c r="K184" s="43"/>
    </row>
    <row r="185" spans="1:11" ht="12.5" x14ac:dyDescent="0.25">
      <c r="A185" s="37">
        <v>45646</v>
      </c>
      <c r="B185" s="38" t="s">
        <v>54</v>
      </c>
      <c r="C185" s="39" t="s">
        <v>79</v>
      </c>
      <c r="D185" s="38" t="s">
        <v>280</v>
      </c>
      <c r="E185" s="40" t="s">
        <v>63</v>
      </c>
      <c r="F185" s="40" t="s">
        <v>86</v>
      </c>
      <c r="G185" s="41">
        <v>0.25</v>
      </c>
      <c r="H185" s="41">
        <v>0.15</v>
      </c>
      <c r="I185" s="41">
        <f t="shared" si="5"/>
        <v>-0.1</v>
      </c>
      <c r="J185" s="45"/>
      <c r="K185" s="43" t="s">
        <v>365</v>
      </c>
    </row>
    <row r="186" spans="1:11" ht="12.5" x14ac:dyDescent="0.25">
      <c r="A186" s="37">
        <v>45646</v>
      </c>
      <c r="B186" s="38" t="s">
        <v>54</v>
      </c>
      <c r="C186" s="39" t="s">
        <v>197</v>
      </c>
      <c r="D186" s="38" t="s">
        <v>281</v>
      </c>
      <c r="E186" s="40" t="s">
        <v>63</v>
      </c>
      <c r="F186" s="40" t="s">
        <v>87</v>
      </c>
      <c r="G186" s="41">
        <v>0.25</v>
      </c>
      <c r="H186" s="41">
        <v>0.25</v>
      </c>
      <c r="I186" s="41">
        <f t="shared" si="5"/>
        <v>0</v>
      </c>
      <c r="J186" s="45"/>
      <c r="K186" s="43" t="s">
        <v>365</v>
      </c>
    </row>
    <row r="187" spans="1:11" ht="12.5" x14ac:dyDescent="0.25">
      <c r="A187" s="37">
        <v>45646</v>
      </c>
      <c r="B187" s="38" t="s">
        <v>54</v>
      </c>
      <c r="C187" s="39" t="s">
        <v>79</v>
      </c>
      <c r="D187" s="38" t="s">
        <v>283</v>
      </c>
      <c r="E187" s="40" t="s">
        <v>63</v>
      </c>
      <c r="F187" s="40" t="s">
        <v>86</v>
      </c>
      <c r="G187" s="41">
        <v>0.25</v>
      </c>
      <c r="H187" s="41">
        <v>0.25</v>
      </c>
      <c r="I187" s="41">
        <f t="shared" si="5"/>
        <v>0</v>
      </c>
      <c r="J187" s="45"/>
      <c r="K187" s="43" t="s">
        <v>365</v>
      </c>
    </row>
    <row r="188" spans="1:11" ht="12.5" x14ac:dyDescent="0.25">
      <c r="A188" s="37">
        <v>45646</v>
      </c>
      <c r="B188" s="38" t="s">
        <v>54</v>
      </c>
      <c r="C188" s="39" t="s">
        <v>197</v>
      </c>
      <c r="D188" s="38" t="s">
        <v>282</v>
      </c>
      <c r="E188" s="40" t="s">
        <v>63</v>
      </c>
      <c r="F188" s="40" t="s">
        <v>87</v>
      </c>
      <c r="G188" s="41">
        <v>0.25</v>
      </c>
      <c r="H188" s="41">
        <v>0.25</v>
      </c>
      <c r="I188" s="41">
        <f t="shared" si="5"/>
        <v>0</v>
      </c>
      <c r="J188" s="45"/>
      <c r="K188" s="43" t="s">
        <v>365</v>
      </c>
    </row>
    <row r="189" spans="1:11" ht="12.5" x14ac:dyDescent="0.25">
      <c r="A189" s="13"/>
      <c r="B189" s="15"/>
      <c r="C189" s="15"/>
      <c r="D189" s="15"/>
      <c r="E189" s="15" t="s">
        <v>18</v>
      </c>
      <c r="F189" s="15"/>
      <c r="G189" s="18">
        <f>SUM(G150:G188)</f>
        <v>40.409999999999997</v>
      </c>
      <c r="H189" s="18">
        <f>SUM(H150:H188)</f>
        <v>34.559999999999995</v>
      </c>
      <c r="I189" s="18">
        <f t="shared" si="5"/>
        <v>-5.8500000000000014</v>
      </c>
      <c r="J189" s="19"/>
      <c r="K189" s="46"/>
    </row>
    <row r="190" spans="1:11" ht="18.75" customHeight="1" x14ac:dyDescent="0.25">
      <c r="A190" s="77" t="s">
        <v>24</v>
      </c>
      <c r="B190" s="64"/>
      <c r="C190" s="64"/>
      <c r="D190" s="64"/>
      <c r="E190" s="64"/>
      <c r="F190" s="64"/>
      <c r="G190" s="64"/>
      <c r="H190" s="64"/>
      <c r="I190" s="64"/>
      <c r="J190" s="64"/>
      <c r="K190" s="65"/>
    </row>
    <row r="191" spans="1:11" ht="12.5" x14ac:dyDescent="0.25">
      <c r="A191" s="27" t="s">
        <v>12</v>
      </c>
      <c r="B191" s="73" t="s">
        <v>13</v>
      </c>
      <c r="C191" s="64"/>
      <c r="D191" s="64"/>
      <c r="E191" s="64"/>
      <c r="F191" s="64"/>
      <c r="G191" s="64"/>
      <c r="H191" s="64"/>
      <c r="I191" s="64"/>
      <c r="J191" s="64"/>
      <c r="K191" s="65"/>
    </row>
    <row r="192" spans="1:11" ht="27.75" customHeight="1" x14ac:dyDescent="0.25">
      <c r="A192" s="28" t="s">
        <v>14</v>
      </c>
      <c r="B192" s="73" t="s">
        <v>15</v>
      </c>
      <c r="C192" s="64"/>
      <c r="D192" s="64"/>
      <c r="E192" s="64"/>
      <c r="F192" s="64"/>
      <c r="G192" s="64"/>
      <c r="H192" s="64"/>
      <c r="I192" s="64"/>
      <c r="J192" s="64"/>
      <c r="K192" s="65"/>
    </row>
    <row r="193" spans="1:11" ht="12.5" x14ac:dyDescent="0.25">
      <c r="A193" s="37">
        <v>45663</v>
      </c>
      <c r="B193" s="38" t="s">
        <v>54</v>
      </c>
      <c r="C193" s="39" t="s">
        <v>79</v>
      </c>
      <c r="D193" s="38" t="s">
        <v>295</v>
      </c>
      <c r="E193" s="40" t="s">
        <v>61</v>
      </c>
      <c r="F193" s="40" t="s">
        <v>86</v>
      </c>
      <c r="G193" s="41">
        <v>0.25</v>
      </c>
      <c r="H193" s="41">
        <v>0.25</v>
      </c>
      <c r="I193" s="41">
        <f t="shared" ref="I193:I211" si="6">H193-G193</f>
        <v>0</v>
      </c>
      <c r="J193" s="45"/>
      <c r="K193" s="43" t="s">
        <v>365</v>
      </c>
    </row>
    <row r="194" spans="1:11" ht="12.5" x14ac:dyDescent="0.25">
      <c r="A194" s="37">
        <v>45663</v>
      </c>
      <c r="B194" s="38" t="s">
        <v>54</v>
      </c>
      <c r="C194" s="39" t="s">
        <v>197</v>
      </c>
      <c r="D194" s="38" t="s">
        <v>297</v>
      </c>
      <c r="E194" s="40" t="s">
        <v>61</v>
      </c>
      <c r="F194" s="40" t="s">
        <v>87</v>
      </c>
      <c r="G194" s="41">
        <v>0.25</v>
      </c>
      <c r="H194" s="41">
        <v>0.25</v>
      </c>
      <c r="I194" s="41">
        <f t="shared" si="6"/>
        <v>0</v>
      </c>
      <c r="J194" s="45"/>
      <c r="K194" s="43" t="s">
        <v>365</v>
      </c>
    </row>
    <row r="195" spans="1:11" ht="12.5" x14ac:dyDescent="0.25">
      <c r="A195" s="37">
        <v>45663</v>
      </c>
      <c r="B195" s="38" t="s">
        <v>54</v>
      </c>
      <c r="C195" s="39" t="s">
        <v>289</v>
      </c>
      <c r="D195" s="38" t="s">
        <v>286</v>
      </c>
      <c r="E195" s="40" t="s">
        <v>66</v>
      </c>
      <c r="F195" s="40" t="s">
        <v>162</v>
      </c>
      <c r="G195" s="41">
        <v>1</v>
      </c>
      <c r="H195" s="41">
        <v>1</v>
      </c>
      <c r="I195" s="41">
        <f t="shared" si="6"/>
        <v>0</v>
      </c>
      <c r="K195" s="43"/>
    </row>
    <row r="196" spans="1:11" ht="12.5" x14ac:dyDescent="0.25">
      <c r="A196" s="37" t="s">
        <v>290</v>
      </c>
      <c r="B196" s="38" t="s">
        <v>54</v>
      </c>
      <c r="C196" s="39" t="s">
        <v>289</v>
      </c>
      <c r="D196" s="38" t="s">
        <v>288</v>
      </c>
      <c r="E196" s="40" t="s">
        <v>58</v>
      </c>
      <c r="F196" s="40" t="s">
        <v>162</v>
      </c>
      <c r="G196" s="41">
        <v>4</v>
      </c>
      <c r="H196" s="41">
        <v>5.25</v>
      </c>
      <c r="I196" s="41">
        <f t="shared" si="6"/>
        <v>1.25</v>
      </c>
      <c r="J196" s="53" t="s">
        <v>397</v>
      </c>
      <c r="K196" s="43" t="s">
        <v>294</v>
      </c>
    </row>
    <row r="197" spans="1:11" ht="12.5" x14ac:dyDescent="0.25">
      <c r="A197" s="37" t="s">
        <v>307</v>
      </c>
      <c r="B197" s="38" t="s">
        <v>54</v>
      </c>
      <c r="C197" s="39" t="s">
        <v>289</v>
      </c>
      <c r="D197" s="38" t="s">
        <v>287</v>
      </c>
      <c r="E197" s="40" t="s">
        <v>58</v>
      </c>
      <c r="F197" s="40" t="s">
        <v>162</v>
      </c>
      <c r="G197" s="41">
        <v>4</v>
      </c>
      <c r="H197" s="41">
        <v>5</v>
      </c>
      <c r="I197" s="41">
        <f t="shared" si="6"/>
        <v>1</v>
      </c>
      <c r="J197" s="53" t="s">
        <v>398</v>
      </c>
      <c r="K197" s="43"/>
    </row>
    <row r="198" spans="1:11" ht="12.5" x14ac:dyDescent="0.25">
      <c r="A198" s="37">
        <v>45664</v>
      </c>
      <c r="B198" s="38" t="s">
        <v>54</v>
      </c>
      <c r="C198" s="39" t="s">
        <v>65</v>
      </c>
      <c r="D198" s="38" t="s">
        <v>291</v>
      </c>
      <c r="E198" s="40" t="s">
        <v>65</v>
      </c>
      <c r="F198" s="40" t="s">
        <v>104</v>
      </c>
      <c r="G198" s="41">
        <v>1.25</v>
      </c>
      <c r="H198" s="41">
        <v>1.25</v>
      </c>
      <c r="I198" s="41">
        <f t="shared" si="6"/>
        <v>0</v>
      </c>
      <c r="J198" s="45"/>
      <c r="K198" s="43"/>
    </row>
    <row r="199" spans="1:11" ht="12.5" x14ac:dyDescent="0.25">
      <c r="A199" s="37">
        <v>45664</v>
      </c>
      <c r="B199" s="38" t="s">
        <v>54</v>
      </c>
      <c r="C199" s="39" t="s">
        <v>250</v>
      </c>
      <c r="D199" s="38" t="s">
        <v>292</v>
      </c>
      <c r="E199" s="40" t="s">
        <v>49</v>
      </c>
      <c r="F199" s="40" t="s">
        <v>104</v>
      </c>
      <c r="G199" s="41">
        <v>3</v>
      </c>
      <c r="H199" s="41">
        <v>3</v>
      </c>
      <c r="I199" s="41">
        <f t="shared" si="6"/>
        <v>0</v>
      </c>
      <c r="J199" s="53" t="s">
        <v>371</v>
      </c>
      <c r="K199" s="43"/>
    </row>
    <row r="200" spans="1:11" ht="12.5" x14ac:dyDescent="0.25">
      <c r="A200" s="37">
        <v>45664</v>
      </c>
      <c r="B200" s="38" t="s">
        <v>54</v>
      </c>
      <c r="C200" s="39" t="s">
        <v>250</v>
      </c>
      <c r="D200" s="38" t="s">
        <v>293</v>
      </c>
      <c r="E200" s="40" t="s">
        <v>49</v>
      </c>
      <c r="F200" s="40" t="s">
        <v>104</v>
      </c>
      <c r="G200" s="41">
        <v>3</v>
      </c>
      <c r="H200" s="41">
        <v>3</v>
      </c>
      <c r="I200" s="41">
        <f t="shared" si="6"/>
        <v>0</v>
      </c>
      <c r="J200" s="53" t="s">
        <v>371</v>
      </c>
      <c r="K200" s="43"/>
    </row>
    <row r="201" spans="1:11" ht="12.5" x14ac:dyDescent="0.25">
      <c r="A201" s="37">
        <v>45670</v>
      </c>
      <c r="B201" s="38" t="s">
        <v>54</v>
      </c>
      <c r="C201" s="39" t="s">
        <v>305</v>
      </c>
      <c r="D201" s="38" t="s">
        <v>306</v>
      </c>
      <c r="E201" s="40" t="s">
        <v>66</v>
      </c>
      <c r="F201" s="40" t="s">
        <v>177</v>
      </c>
      <c r="G201" s="41">
        <v>2</v>
      </c>
      <c r="H201" s="41">
        <v>1.5</v>
      </c>
      <c r="I201" s="41">
        <f t="shared" si="6"/>
        <v>-0.5</v>
      </c>
      <c r="J201" s="53" t="s">
        <v>402</v>
      </c>
      <c r="K201" s="43"/>
    </row>
    <row r="202" spans="1:11" ht="12.5" x14ac:dyDescent="0.25">
      <c r="A202" s="37">
        <v>45671</v>
      </c>
      <c r="B202" s="38" t="s">
        <v>54</v>
      </c>
      <c r="C202" s="39" t="s">
        <v>308</v>
      </c>
      <c r="D202" s="38" t="s">
        <v>309</v>
      </c>
      <c r="E202" s="40" t="s">
        <v>66</v>
      </c>
      <c r="F202" s="40" t="s">
        <v>177</v>
      </c>
      <c r="G202" s="41">
        <v>0.5</v>
      </c>
      <c r="H202" s="41">
        <v>0.5</v>
      </c>
      <c r="I202" s="41">
        <f t="shared" si="6"/>
        <v>0</v>
      </c>
      <c r="J202" s="53" t="s">
        <v>316</v>
      </c>
      <c r="K202" s="43"/>
    </row>
    <row r="203" spans="1:11" ht="12.5" x14ac:dyDescent="0.25">
      <c r="A203" s="37">
        <v>45671</v>
      </c>
      <c r="B203" s="38" t="s">
        <v>54</v>
      </c>
      <c r="C203" s="39" t="s">
        <v>308</v>
      </c>
      <c r="D203" s="38" t="s">
        <v>310</v>
      </c>
      <c r="E203" s="40" t="s">
        <v>66</v>
      </c>
      <c r="F203" s="40" t="s">
        <v>177</v>
      </c>
      <c r="G203" s="41">
        <v>1</v>
      </c>
      <c r="H203" s="41">
        <v>1</v>
      </c>
      <c r="I203" s="41">
        <f t="shared" si="6"/>
        <v>0</v>
      </c>
      <c r="J203" s="45"/>
      <c r="K203" s="43"/>
    </row>
    <row r="204" spans="1:11" ht="12.5" x14ac:dyDescent="0.25">
      <c r="A204" s="37">
        <v>45671</v>
      </c>
      <c r="B204" s="38" t="s">
        <v>54</v>
      </c>
      <c r="C204" s="39" t="s">
        <v>308</v>
      </c>
      <c r="D204" s="38" t="s">
        <v>311</v>
      </c>
      <c r="E204" s="40" t="s">
        <v>66</v>
      </c>
      <c r="F204" s="40" t="s">
        <v>104</v>
      </c>
      <c r="G204" s="41">
        <v>1</v>
      </c>
      <c r="H204" s="41">
        <v>1</v>
      </c>
      <c r="I204" s="41">
        <f t="shared" si="6"/>
        <v>0</v>
      </c>
      <c r="J204" s="45"/>
      <c r="K204" s="43"/>
    </row>
    <row r="205" spans="1:11" ht="12.5" x14ac:dyDescent="0.25">
      <c r="A205" s="37">
        <v>45671</v>
      </c>
      <c r="B205" s="38" t="s">
        <v>54</v>
      </c>
      <c r="C205" s="39" t="s">
        <v>308</v>
      </c>
      <c r="D205" s="38" t="s">
        <v>312</v>
      </c>
      <c r="E205" s="40" t="s">
        <v>66</v>
      </c>
      <c r="F205" s="40" t="s">
        <v>104</v>
      </c>
      <c r="G205" s="41">
        <v>1</v>
      </c>
      <c r="H205" s="41">
        <v>2</v>
      </c>
      <c r="I205" s="41">
        <f t="shared" si="6"/>
        <v>1</v>
      </c>
      <c r="J205" s="45"/>
      <c r="K205" s="43" t="s">
        <v>317</v>
      </c>
    </row>
    <row r="206" spans="1:11" ht="12.5" x14ac:dyDescent="0.25">
      <c r="A206" s="37">
        <v>45671</v>
      </c>
      <c r="B206" s="38" t="s">
        <v>54</v>
      </c>
      <c r="C206" s="39" t="s">
        <v>308</v>
      </c>
      <c r="D206" s="38" t="s">
        <v>313</v>
      </c>
      <c r="E206" s="40" t="s">
        <v>49</v>
      </c>
      <c r="F206" s="40" t="s">
        <v>104</v>
      </c>
      <c r="G206" s="41">
        <v>1</v>
      </c>
      <c r="H206" s="41">
        <v>0.5</v>
      </c>
      <c r="I206" s="41">
        <f t="shared" si="6"/>
        <v>-0.5</v>
      </c>
      <c r="J206" s="53" t="s">
        <v>400</v>
      </c>
      <c r="K206" s="43" t="s">
        <v>318</v>
      </c>
    </row>
    <row r="207" spans="1:11" ht="12.5" x14ac:dyDescent="0.25">
      <c r="A207" s="37" t="s">
        <v>324</v>
      </c>
      <c r="B207" s="38" t="s">
        <v>54</v>
      </c>
      <c r="C207" s="39" t="s">
        <v>308</v>
      </c>
      <c r="D207" s="38" t="s">
        <v>314</v>
      </c>
      <c r="E207" s="40" t="s">
        <v>49</v>
      </c>
      <c r="F207" s="40" t="s">
        <v>104</v>
      </c>
      <c r="G207" s="41">
        <v>2</v>
      </c>
      <c r="H207" s="41">
        <v>2.5</v>
      </c>
      <c r="I207" s="41">
        <f t="shared" si="6"/>
        <v>0.5</v>
      </c>
      <c r="J207" s="53" t="s">
        <v>401</v>
      </c>
      <c r="K207" s="43" t="s">
        <v>319</v>
      </c>
    </row>
    <row r="208" spans="1:11" ht="12.5" x14ac:dyDescent="0.25">
      <c r="A208" s="37">
        <v>45676</v>
      </c>
      <c r="B208" s="38" t="s">
        <v>54</v>
      </c>
      <c r="C208" s="39" t="s">
        <v>227</v>
      </c>
      <c r="D208" s="38" t="s">
        <v>339</v>
      </c>
      <c r="E208" s="40" t="s">
        <v>49</v>
      </c>
      <c r="F208" s="40" t="s">
        <v>104</v>
      </c>
      <c r="G208" s="41">
        <v>2</v>
      </c>
      <c r="H208" s="41">
        <v>4</v>
      </c>
      <c r="I208" s="41">
        <f t="shared" si="6"/>
        <v>2</v>
      </c>
      <c r="J208" s="53" t="s">
        <v>399</v>
      </c>
      <c r="K208" s="43" t="s">
        <v>350</v>
      </c>
    </row>
    <row r="209" spans="1:11" ht="12.5" x14ac:dyDescent="0.25">
      <c r="A209" s="37">
        <v>45676</v>
      </c>
      <c r="B209" s="38" t="s">
        <v>54</v>
      </c>
      <c r="C209" s="39" t="s">
        <v>79</v>
      </c>
      <c r="D209" s="38" t="s">
        <v>328</v>
      </c>
      <c r="E209" s="40" t="s">
        <v>63</v>
      </c>
      <c r="F209" s="40" t="s">
        <v>86</v>
      </c>
      <c r="G209" s="41">
        <v>0.25</v>
      </c>
      <c r="H209" s="41">
        <v>0.25</v>
      </c>
      <c r="I209" s="41">
        <f t="shared" si="6"/>
        <v>0</v>
      </c>
      <c r="J209" s="45"/>
      <c r="K209" s="43" t="s">
        <v>365</v>
      </c>
    </row>
    <row r="210" spans="1:11" ht="12.5" x14ac:dyDescent="0.25">
      <c r="A210" s="37">
        <v>45676</v>
      </c>
      <c r="B210" s="38" t="s">
        <v>54</v>
      </c>
      <c r="C210" s="39" t="s">
        <v>197</v>
      </c>
      <c r="D210" s="38" t="s">
        <v>329</v>
      </c>
      <c r="E210" s="40" t="s">
        <v>63</v>
      </c>
      <c r="F210" s="40" t="s">
        <v>87</v>
      </c>
      <c r="G210" s="41">
        <v>0.25</v>
      </c>
      <c r="H210" s="41">
        <v>0.25</v>
      </c>
      <c r="I210" s="41">
        <f t="shared" si="6"/>
        <v>0</v>
      </c>
      <c r="J210" s="45"/>
      <c r="K210" s="43" t="s">
        <v>365</v>
      </c>
    </row>
    <row r="211" spans="1:11" ht="12.5" x14ac:dyDescent="0.25">
      <c r="A211" s="13"/>
      <c r="B211" s="15"/>
      <c r="C211" s="15"/>
      <c r="D211" s="15"/>
      <c r="E211" s="15" t="s">
        <v>18</v>
      </c>
      <c r="F211" s="15"/>
      <c r="G211" s="18">
        <f>SUM(G193:G210)</f>
        <v>27.75</v>
      </c>
      <c r="H211" s="18">
        <f>SUM(H193:H210)</f>
        <v>32.5</v>
      </c>
      <c r="I211" s="18">
        <f t="shared" si="6"/>
        <v>4.75</v>
      </c>
      <c r="J211" s="19"/>
      <c r="K211" s="46"/>
    </row>
    <row r="212" spans="1:11" ht="18.75" customHeight="1" x14ac:dyDescent="0.25">
      <c r="A212" s="74" t="s">
        <v>25</v>
      </c>
      <c r="B212" s="64"/>
      <c r="C212" s="64"/>
      <c r="D212" s="64"/>
      <c r="E212" s="64"/>
      <c r="F212" s="64"/>
      <c r="G212" s="64"/>
      <c r="H212" s="64"/>
      <c r="I212" s="64"/>
      <c r="J212" s="64"/>
      <c r="K212" s="65"/>
    </row>
    <row r="213" spans="1:11" ht="12.5" x14ac:dyDescent="0.25">
      <c r="A213" s="29" t="s">
        <v>12</v>
      </c>
      <c r="B213" s="71" t="s">
        <v>13</v>
      </c>
      <c r="C213" s="64"/>
      <c r="D213" s="64"/>
      <c r="E213" s="64"/>
      <c r="F213" s="64"/>
      <c r="G213" s="64"/>
      <c r="H213" s="64"/>
      <c r="I213" s="64"/>
      <c r="J213" s="64"/>
      <c r="K213" s="65"/>
    </row>
    <row r="214" spans="1:11" ht="28.5" customHeight="1" x14ac:dyDescent="0.25">
      <c r="A214" s="30" t="s">
        <v>14</v>
      </c>
      <c r="B214" s="71" t="s">
        <v>15</v>
      </c>
      <c r="C214" s="64"/>
      <c r="D214" s="64"/>
      <c r="E214" s="64"/>
      <c r="F214" s="64"/>
      <c r="G214" s="64"/>
      <c r="H214" s="64"/>
      <c r="I214" s="64"/>
      <c r="J214" s="64"/>
      <c r="K214" s="65"/>
    </row>
    <row r="215" spans="1:11" ht="12.5" x14ac:dyDescent="0.25">
      <c r="A215" s="37">
        <v>45670</v>
      </c>
      <c r="B215" s="38" t="s">
        <v>54</v>
      </c>
      <c r="C215" s="39" t="s">
        <v>79</v>
      </c>
      <c r="D215" s="38" t="s">
        <v>295</v>
      </c>
      <c r="E215" s="40" t="s">
        <v>61</v>
      </c>
      <c r="F215" s="40" t="s">
        <v>86</v>
      </c>
      <c r="G215" s="41">
        <v>0.25</v>
      </c>
      <c r="H215" s="41">
        <v>0.25</v>
      </c>
      <c r="I215" s="41">
        <f t="shared" ref="I215:I235" si="7">H215-G215</f>
        <v>0</v>
      </c>
      <c r="J215" s="45"/>
      <c r="K215" s="43" t="s">
        <v>365</v>
      </c>
    </row>
    <row r="216" spans="1:11" ht="12.5" x14ac:dyDescent="0.25">
      <c r="A216" s="37">
        <v>45670</v>
      </c>
      <c r="B216" s="38" t="s">
        <v>54</v>
      </c>
      <c r="C216" s="39" t="s">
        <v>197</v>
      </c>
      <c r="D216" s="38" t="s">
        <v>296</v>
      </c>
      <c r="E216" s="40" t="s">
        <v>61</v>
      </c>
      <c r="F216" s="40" t="s">
        <v>87</v>
      </c>
      <c r="G216" s="41">
        <v>0.25</v>
      </c>
      <c r="H216" s="41">
        <v>0.25</v>
      </c>
      <c r="I216" s="41">
        <f t="shared" si="7"/>
        <v>0</v>
      </c>
      <c r="J216" s="45"/>
      <c r="K216" s="43" t="s">
        <v>365</v>
      </c>
    </row>
    <row r="217" spans="1:11" ht="12.5" x14ac:dyDescent="0.25">
      <c r="A217" s="37">
        <v>45670</v>
      </c>
      <c r="B217" s="38" t="s">
        <v>54</v>
      </c>
      <c r="C217" s="39" t="s">
        <v>298</v>
      </c>
      <c r="D217" s="38" t="s">
        <v>299</v>
      </c>
      <c r="E217" s="40" t="s">
        <v>66</v>
      </c>
      <c r="F217" s="40" t="s">
        <v>177</v>
      </c>
      <c r="G217" s="41">
        <v>0.75</v>
      </c>
      <c r="H217" s="41">
        <v>0.75</v>
      </c>
      <c r="I217" s="41">
        <f t="shared" si="7"/>
        <v>0</v>
      </c>
      <c r="J217" s="45"/>
      <c r="K217" s="43"/>
    </row>
    <row r="218" spans="1:11" ht="12.5" x14ac:dyDescent="0.25">
      <c r="A218" s="37">
        <v>45670</v>
      </c>
      <c r="B218" s="38" t="s">
        <v>54</v>
      </c>
      <c r="C218" s="39" t="s">
        <v>298</v>
      </c>
      <c r="D218" s="38" t="s">
        <v>300</v>
      </c>
      <c r="E218" s="40" t="s">
        <v>66</v>
      </c>
      <c r="F218" s="40" t="s">
        <v>177</v>
      </c>
      <c r="G218" s="41">
        <v>0.5</v>
      </c>
      <c r="H218" s="41">
        <v>0.5</v>
      </c>
      <c r="I218" s="41">
        <f t="shared" si="7"/>
        <v>0</v>
      </c>
      <c r="J218" s="45"/>
      <c r="K218" s="43"/>
    </row>
    <row r="219" spans="1:11" ht="12.5" x14ac:dyDescent="0.25">
      <c r="A219" s="37">
        <v>45670</v>
      </c>
      <c r="B219" s="38" t="s">
        <v>54</v>
      </c>
      <c r="C219" s="39" t="s">
        <v>302</v>
      </c>
      <c r="D219" s="38" t="s">
        <v>301</v>
      </c>
      <c r="E219" s="40" t="s">
        <v>63</v>
      </c>
      <c r="F219" s="40" t="s">
        <v>86</v>
      </c>
      <c r="G219" s="41">
        <v>0.5</v>
      </c>
      <c r="H219" s="41">
        <v>0.5</v>
      </c>
      <c r="I219" s="41">
        <f t="shared" si="7"/>
        <v>0</v>
      </c>
      <c r="J219" s="45"/>
      <c r="K219" s="43"/>
    </row>
    <row r="220" spans="1:11" ht="12.5" x14ac:dyDescent="0.25">
      <c r="A220" s="37">
        <v>45670</v>
      </c>
      <c r="B220" s="38" t="s">
        <v>45</v>
      </c>
      <c r="C220" s="39" t="s">
        <v>304</v>
      </c>
      <c r="D220" s="38" t="s">
        <v>303</v>
      </c>
      <c r="E220" s="40" t="s">
        <v>67</v>
      </c>
      <c r="F220" s="40" t="s">
        <v>86</v>
      </c>
      <c r="G220" s="41">
        <v>0.1</v>
      </c>
      <c r="H220" s="41">
        <v>0.1</v>
      </c>
      <c r="I220" s="41">
        <f t="shared" si="7"/>
        <v>0</v>
      </c>
      <c r="J220" s="45"/>
      <c r="K220" s="43"/>
    </row>
    <row r="221" spans="1:11" ht="12.5" x14ac:dyDescent="0.25">
      <c r="A221" s="37">
        <v>45671</v>
      </c>
      <c r="B221" s="38" t="s">
        <v>54</v>
      </c>
      <c r="C221" s="39" t="s">
        <v>79</v>
      </c>
      <c r="D221" s="38" t="s">
        <v>255</v>
      </c>
      <c r="E221" s="40" t="s">
        <v>61</v>
      </c>
      <c r="F221" s="40" t="s">
        <v>86</v>
      </c>
      <c r="G221" s="41">
        <v>0.15</v>
      </c>
      <c r="H221" s="41">
        <v>0.15</v>
      </c>
      <c r="I221" s="41">
        <f t="shared" si="7"/>
        <v>0</v>
      </c>
      <c r="J221" s="45"/>
      <c r="K221" s="43" t="s">
        <v>365</v>
      </c>
    </row>
    <row r="222" spans="1:11" ht="12.5" x14ac:dyDescent="0.25">
      <c r="A222" s="37">
        <v>45671</v>
      </c>
      <c r="B222" s="38" t="s">
        <v>54</v>
      </c>
      <c r="C222" s="39" t="s">
        <v>77</v>
      </c>
      <c r="D222" s="38" t="s">
        <v>274</v>
      </c>
      <c r="E222" s="40" t="s">
        <v>46</v>
      </c>
      <c r="F222" s="40" t="s">
        <v>86</v>
      </c>
      <c r="G222" s="41">
        <v>0.25</v>
      </c>
      <c r="H222" s="41">
        <v>0.25</v>
      </c>
      <c r="I222" s="41">
        <f t="shared" si="7"/>
        <v>0</v>
      </c>
      <c r="J222" s="45"/>
      <c r="K222" s="43"/>
    </row>
    <row r="223" spans="1:11" ht="12.5" x14ac:dyDescent="0.25">
      <c r="A223" s="37">
        <v>45671</v>
      </c>
      <c r="B223" s="38" t="s">
        <v>54</v>
      </c>
      <c r="C223" s="39" t="s">
        <v>315</v>
      </c>
      <c r="D223" s="38" t="s">
        <v>403</v>
      </c>
      <c r="E223" s="40" t="s">
        <v>63</v>
      </c>
      <c r="F223" s="40" t="s">
        <v>86</v>
      </c>
      <c r="G223" s="41">
        <v>0.25</v>
      </c>
      <c r="H223" s="41">
        <v>0.25</v>
      </c>
      <c r="I223" s="41">
        <f t="shared" si="7"/>
        <v>0</v>
      </c>
      <c r="J223" s="55" t="s">
        <v>404</v>
      </c>
    </row>
    <row r="224" spans="1:11" ht="12.5" x14ac:dyDescent="0.25">
      <c r="A224" s="37">
        <v>45673</v>
      </c>
      <c r="B224" s="38" t="s">
        <v>54</v>
      </c>
      <c r="C224" s="39" t="s">
        <v>333</v>
      </c>
      <c r="D224" s="38" t="s">
        <v>320</v>
      </c>
      <c r="E224" s="40" t="s">
        <v>49</v>
      </c>
      <c r="F224" s="40" t="s">
        <v>177</v>
      </c>
      <c r="G224" s="41">
        <v>3</v>
      </c>
      <c r="H224" s="41">
        <v>3</v>
      </c>
      <c r="I224" s="41">
        <f t="shared" si="7"/>
        <v>0</v>
      </c>
      <c r="J224" s="55" t="s">
        <v>371</v>
      </c>
    </row>
    <row r="225" spans="1:11" ht="12.5" x14ac:dyDescent="0.25">
      <c r="A225" s="37">
        <v>45673</v>
      </c>
      <c r="B225" s="38" t="s">
        <v>54</v>
      </c>
      <c r="C225" s="39" t="s">
        <v>333</v>
      </c>
      <c r="D225" s="38" t="s">
        <v>322</v>
      </c>
      <c r="E225" s="40" t="s">
        <v>64</v>
      </c>
      <c r="F225" s="40" t="s">
        <v>177</v>
      </c>
      <c r="G225" s="41">
        <v>1</v>
      </c>
      <c r="H225" s="41">
        <v>1</v>
      </c>
      <c r="I225" s="41">
        <f t="shared" si="7"/>
        <v>0</v>
      </c>
      <c r="J225" s="55" t="s">
        <v>371</v>
      </c>
    </row>
    <row r="226" spans="1:11" ht="12.5" x14ac:dyDescent="0.25">
      <c r="A226" s="37">
        <v>45674</v>
      </c>
      <c r="B226" s="38" t="s">
        <v>54</v>
      </c>
      <c r="C226" s="39" t="s">
        <v>79</v>
      </c>
      <c r="D226" s="38" t="s">
        <v>323</v>
      </c>
      <c r="E226" s="40" t="s">
        <v>61</v>
      </c>
      <c r="F226" s="40" t="s">
        <v>86</v>
      </c>
      <c r="G226" s="41">
        <v>0.25</v>
      </c>
      <c r="H226" s="41">
        <v>0.25</v>
      </c>
      <c r="I226" s="41">
        <f t="shared" si="7"/>
        <v>0</v>
      </c>
      <c r="J226" s="45"/>
      <c r="K226" s="43" t="s">
        <v>365</v>
      </c>
    </row>
    <row r="227" spans="1:11" ht="12.5" x14ac:dyDescent="0.25">
      <c r="A227" s="37">
        <v>45674</v>
      </c>
      <c r="B227" s="38" t="s">
        <v>54</v>
      </c>
      <c r="C227" s="39" t="s">
        <v>77</v>
      </c>
      <c r="D227" s="38" t="s">
        <v>274</v>
      </c>
      <c r="E227" s="40" t="s">
        <v>46</v>
      </c>
      <c r="F227" s="40" t="s">
        <v>87</v>
      </c>
      <c r="G227" s="41">
        <v>0.25</v>
      </c>
      <c r="H227" s="41">
        <v>0.25</v>
      </c>
      <c r="I227" s="41">
        <f t="shared" si="7"/>
        <v>0</v>
      </c>
      <c r="J227" s="45"/>
      <c r="K227" s="43"/>
    </row>
    <row r="228" spans="1:11" ht="12.5" x14ac:dyDescent="0.25">
      <c r="A228" s="37">
        <v>45674</v>
      </c>
      <c r="B228" s="38" t="s">
        <v>54</v>
      </c>
      <c r="C228" s="39" t="s">
        <v>332</v>
      </c>
      <c r="D228" s="38" t="s">
        <v>336</v>
      </c>
      <c r="E228" s="40" t="s">
        <v>63</v>
      </c>
      <c r="F228" s="40" t="s">
        <v>88</v>
      </c>
      <c r="G228" s="41">
        <v>0.5</v>
      </c>
      <c r="H228" s="41">
        <v>0.5</v>
      </c>
      <c r="I228" s="41">
        <f t="shared" si="7"/>
        <v>0</v>
      </c>
      <c r="J228" s="55" t="s">
        <v>404</v>
      </c>
    </row>
    <row r="229" spans="1:11" ht="12.5" x14ac:dyDescent="0.25">
      <c r="A229" s="37">
        <v>45674</v>
      </c>
      <c r="B229" s="38" t="s">
        <v>54</v>
      </c>
      <c r="C229" s="39" t="s">
        <v>227</v>
      </c>
      <c r="D229" s="38" t="s">
        <v>331</v>
      </c>
      <c r="E229" s="40" t="s">
        <v>66</v>
      </c>
      <c r="F229" s="40" t="s">
        <v>104</v>
      </c>
      <c r="G229" s="41">
        <v>1</v>
      </c>
      <c r="H229" s="41">
        <v>1</v>
      </c>
      <c r="I229" s="41">
        <f t="shared" si="7"/>
        <v>0</v>
      </c>
      <c r="J229" s="45"/>
      <c r="K229" s="43"/>
    </row>
    <row r="230" spans="1:11" ht="12.5" x14ac:dyDescent="0.25">
      <c r="A230" s="37">
        <v>45674</v>
      </c>
      <c r="B230" s="38" t="s">
        <v>54</v>
      </c>
      <c r="C230" s="39" t="s">
        <v>227</v>
      </c>
      <c r="D230" s="38" t="s">
        <v>330</v>
      </c>
      <c r="E230" s="40" t="s">
        <v>49</v>
      </c>
      <c r="F230" s="40" t="s">
        <v>177</v>
      </c>
      <c r="G230" s="41">
        <v>4</v>
      </c>
      <c r="H230" s="41">
        <v>5.75</v>
      </c>
      <c r="I230" s="41">
        <f t="shared" si="7"/>
        <v>1.75</v>
      </c>
      <c r="J230" s="53" t="s">
        <v>405</v>
      </c>
      <c r="K230" s="43" t="s">
        <v>351</v>
      </c>
    </row>
    <row r="231" spans="1:11" ht="12.5" x14ac:dyDescent="0.25">
      <c r="A231" s="37">
        <v>45675</v>
      </c>
      <c r="B231" s="38" t="s">
        <v>54</v>
      </c>
      <c r="C231" s="39" t="s">
        <v>333</v>
      </c>
      <c r="D231" s="38" t="s">
        <v>321</v>
      </c>
      <c r="E231" s="40" t="s">
        <v>58</v>
      </c>
      <c r="F231" s="40" t="s">
        <v>177</v>
      </c>
      <c r="G231" s="41">
        <v>4</v>
      </c>
      <c r="H231" s="41">
        <v>4.5</v>
      </c>
      <c r="I231" s="41">
        <f t="shared" si="7"/>
        <v>0.5</v>
      </c>
      <c r="J231" s="53" t="s">
        <v>406</v>
      </c>
      <c r="K231" s="43" t="s">
        <v>337</v>
      </c>
    </row>
    <row r="232" spans="1:11" ht="12.5" x14ac:dyDescent="0.25">
      <c r="A232" s="37">
        <v>45676</v>
      </c>
      <c r="B232" s="38" t="s">
        <v>54</v>
      </c>
      <c r="C232" s="39" t="s">
        <v>197</v>
      </c>
      <c r="D232" s="38" t="s">
        <v>338</v>
      </c>
      <c r="E232" s="40" t="s">
        <v>63</v>
      </c>
      <c r="F232" s="40" t="s">
        <v>87</v>
      </c>
      <c r="G232" s="41">
        <v>1</v>
      </c>
      <c r="H232" s="41">
        <v>1</v>
      </c>
      <c r="I232" s="41">
        <f t="shared" si="7"/>
        <v>0</v>
      </c>
      <c r="J232" s="45"/>
      <c r="K232" s="43" t="s">
        <v>365</v>
      </c>
    </row>
    <row r="233" spans="1:11" ht="12.5" x14ac:dyDescent="0.25">
      <c r="A233" s="37">
        <v>45676</v>
      </c>
      <c r="B233" s="38" t="s">
        <v>54</v>
      </c>
      <c r="C233" s="39" t="s">
        <v>197</v>
      </c>
      <c r="D233" s="38" t="s">
        <v>334</v>
      </c>
      <c r="E233" s="40" t="s">
        <v>63</v>
      </c>
      <c r="F233" s="40" t="s">
        <v>87</v>
      </c>
      <c r="G233" s="41">
        <v>0.25</v>
      </c>
      <c r="H233" s="41">
        <v>0.25</v>
      </c>
      <c r="I233" s="41">
        <f t="shared" si="7"/>
        <v>0</v>
      </c>
      <c r="J233" s="45"/>
      <c r="K233" s="43" t="s">
        <v>365</v>
      </c>
    </row>
    <row r="234" spans="1:11" ht="12.5" x14ac:dyDescent="0.25">
      <c r="A234" s="37">
        <v>45676</v>
      </c>
      <c r="B234" s="38" t="s">
        <v>54</v>
      </c>
      <c r="C234" s="39" t="s">
        <v>79</v>
      </c>
      <c r="D234" s="38" t="s">
        <v>335</v>
      </c>
      <c r="E234" s="40" t="s">
        <v>63</v>
      </c>
      <c r="F234" s="40" t="s">
        <v>86</v>
      </c>
      <c r="G234" s="41">
        <v>0.25</v>
      </c>
      <c r="H234" s="41">
        <v>0.1</v>
      </c>
      <c r="I234" s="41">
        <f t="shared" si="7"/>
        <v>-0.15</v>
      </c>
      <c r="J234" s="45"/>
      <c r="K234" s="43" t="s">
        <v>365</v>
      </c>
    </row>
    <row r="235" spans="1:11" ht="12.5" x14ac:dyDescent="0.25">
      <c r="A235" s="13"/>
      <c r="B235" s="15"/>
      <c r="C235" s="15"/>
      <c r="D235" s="15"/>
      <c r="E235" s="15" t="s">
        <v>18</v>
      </c>
      <c r="F235" s="15"/>
      <c r="G235" s="18">
        <f>SUM(G215:G234)</f>
        <v>18.5</v>
      </c>
      <c r="H235" s="18">
        <f>SUM(H215:H234)</f>
        <v>20.6</v>
      </c>
      <c r="I235" s="18">
        <f t="shared" si="7"/>
        <v>2.1000000000000014</v>
      </c>
      <c r="J235" s="19"/>
      <c r="K235" s="46"/>
    </row>
    <row r="236" spans="1:11" ht="18.75" customHeight="1" x14ac:dyDescent="0.25">
      <c r="A236" s="56" t="s">
        <v>26</v>
      </c>
      <c r="B236" s="57"/>
      <c r="C236" s="57"/>
      <c r="D236" s="57"/>
      <c r="E236" s="57"/>
      <c r="F236" s="57"/>
      <c r="G236" s="57"/>
      <c r="H236" s="57"/>
      <c r="I236" s="57"/>
      <c r="J236" s="57"/>
      <c r="K236" s="58"/>
    </row>
    <row r="237" spans="1:11" ht="12.5" x14ac:dyDescent="0.25">
      <c r="A237" s="32" t="s">
        <v>12</v>
      </c>
      <c r="B237" s="59" t="s">
        <v>13</v>
      </c>
      <c r="C237" s="57"/>
      <c r="D237" s="57"/>
      <c r="E237" s="57"/>
      <c r="F237" s="57"/>
      <c r="G237" s="57"/>
      <c r="H237" s="57"/>
      <c r="I237" s="57"/>
      <c r="J237" s="57"/>
      <c r="K237" s="58"/>
    </row>
    <row r="238" spans="1:11" ht="28.5" customHeight="1" x14ac:dyDescent="0.25">
      <c r="A238" s="33" t="s">
        <v>14</v>
      </c>
      <c r="B238" s="59" t="s">
        <v>15</v>
      </c>
      <c r="C238" s="57"/>
      <c r="D238" s="57"/>
      <c r="E238" s="57"/>
      <c r="F238" s="57"/>
      <c r="G238" s="57"/>
      <c r="H238" s="57"/>
      <c r="I238" s="57"/>
      <c r="J238" s="57"/>
      <c r="K238" s="58"/>
    </row>
    <row r="239" spans="1:11" ht="12.5" x14ac:dyDescent="0.25">
      <c r="A239" s="37">
        <v>45677</v>
      </c>
      <c r="B239" s="38" t="s">
        <v>54</v>
      </c>
      <c r="C239" s="39" t="s">
        <v>315</v>
      </c>
      <c r="D239" s="38" t="s">
        <v>340</v>
      </c>
      <c r="E239" s="40" t="s">
        <v>63</v>
      </c>
      <c r="F239" s="40" t="s">
        <v>86</v>
      </c>
      <c r="G239" s="41">
        <v>0.5</v>
      </c>
      <c r="H239" s="41">
        <v>0.5</v>
      </c>
      <c r="I239" s="41">
        <f t="shared" ref="I239:I262" si="8">H239-G239</f>
        <v>0</v>
      </c>
      <c r="J239" s="55" t="s">
        <v>404</v>
      </c>
      <c r="K239" s="43"/>
    </row>
    <row r="240" spans="1:11" ht="12.5" x14ac:dyDescent="0.25">
      <c r="A240" s="37">
        <v>45677</v>
      </c>
      <c r="B240" s="38" t="s">
        <v>54</v>
      </c>
      <c r="C240" s="39" t="s">
        <v>315</v>
      </c>
      <c r="D240" s="38" t="s">
        <v>341</v>
      </c>
      <c r="E240" s="40" t="s">
        <v>63</v>
      </c>
      <c r="F240" s="40" t="s">
        <v>86</v>
      </c>
      <c r="G240" s="41">
        <v>0.1</v>
      </c>
      <c r="H240" s="41">
        <v>0.1</v>
      </c>
      <c r="I240" s="41">
        <f t="shared" si="8"/>
        <v>0</v>
      </c>
      <c r="J240" s="53" t="s">
        <v>408</v>
      </c>
      <c r="K240" s="43"/>
    </row>
    <row r="241" spans="1:11" ht="12.5" x14ac:dyDescent="0.25">
      <c r="A241" s="37">
        <v>45677</v>
      </c>
      <c r="B241" s="38" t="s">
        <v>54</v>
      </c>
      <c r="C241" s="39" t="s">
        <v>345</v>
      </c>
      <c r="D241" s="38" t="s">
        <v>342</v>
      </c>
      <c r="E241" s="40" t="s">
        <v>43</v>
      </c>
      <c r="F241" s="40" t="s">
        <v>348</v>
      </c>
      <c r="G241" s="41">
        <v>0.5</v>
      </c>
      <c r="H241" s="41">
        <v>0.5</v>
      </c>
      <c r="I241" s="41">
        <f t="shared" si="8"/>
        <v>0</v>
      </c>
      <c r="J241" s="53" t="s">
        <v>409</v>
      </c>
      <c r="K241" s="43"/>
    </row>
    <row r="242" spans="1:11" ht="12.5" x14ac:dyDescent="0.25">
      <c r="A242" s="37">
        <v>45677</v>
      </c>
      <c r="B242" s="38" t="s">
        <v>54</v>
      </c>
      <c r="C242" s="39" t="s">
        <v>227</v>
      </c>
      <c r="D242" s="38" t="s">
        <v>346</v>
      </c>
      <c r="E242" s="40" t="s">
        <v>64</v>
      </c>
      <c r="F242" s="40" t="s">
        <v>104</v>
      </c>
      <c r="G242" s="41">
        <v>0.25</v>
      </c>
      <c r="H242" s="41">
        <v>0.25</v>
      </c>
      <c r="I242" s="41">
        <f t="shared" si="8"/>
        <v>0</v>
      </c>
      <c r="J242" s="45"/>
      <c r="K242" s="43"/>
    </row>
    <row r="243" spans="1:11" ht="12.5" x14ac:dyDescent="0.25">
      <c r="A243" s="37">
        <v>45677</v>
      </c>
      <c r="B243" s="38" t="s">
        <v>54</v>
      </c>
      <c r="C243" s="39" t="s">
        <v>333</v>
      </c>
      <c r="D243" s="38" t="s">
        <v>344</v>
      </c>
      <c r="E243" s="40" t="s">
        <v>49</v>
      </c>
      <c r="F243" s="40" t="s">
        <v>104</v>
      </c>
      <c r="G243" s="41">
        <v>4</v>
      </c>
      <c r="H243" s="41">
        <v>4</v>
      </c>
      <c r="I243" s="41">
        <f t="shared" si="8"/>
        <v>0</v>
      </c>
      <c r="J243" s="53" t="s">
        <v>410</v>
      </c>
      <c r="K243" s="43"/>
    </row>
    <row r="244" spans="1:11" ht="12.5" x14ac:dyDescent="0.25">
      <c r="A244" s="37">
        <v>45678</v>
      </c>
      <c r="B244" s="38" t="s">
        <v>54</v>
      </c>
      <c r="C244" s="39" t="s">
        <v>79</v>
      </c>
      <c r="D244" s="38" t="s">
        <v>343</v>
      </c>
      <c r="E244" s="40" t="s">
        <v>61</v>
      </c>
      <c r="F244" s="40" t="s">
        <v>86</v>
      </c>
      <c r="G244" s="41">
        <v>0.15</v>
      </c>
      <c r="H244" s="41">
        <v>0.15</v>
      </c>
      <c r="I244" s="41">
        <f t="shared" si="8"/>
        <v>0</v>
      </c>
      <c r="J244" s="45"/>
      <c r="K244" s="43" t="s">
        <v>365</v>
      </c>
    </row>
    <row r="245" spans="1:11" ht="12.5" x14ac:dyDescent="0.25">
      <c r="A245" s="37">
        <v>45678</v>
      </c>
      <c r="B245" s="38" t="s">
        <v>54</v>
      </c>
      <c r="C245" s="39" t="s">
        <v>77</v>
      </c>
      <c r="D245" s="38" t="s">
        <v>274</v>
      </c>
      <c r="E245" s="40" t="s">
        <v>46</v>
      </c>
      <c r="F245" s="40" t="s">
        <v>87</v>
      </c>
      <c r="G245" s="41">
        <v>0.25</v>
      </c>
      <c r="H245" s="41">
        <v>0.25</v>
      </c>
      <c r="I245" s="41">
        <f t="shared" si="8"/>
        <v>0</v>
      </c>
      <c r="J245" s="45"/>
      <c r="K245" s="43"/>
    </row>
    <row r="246" spans="1:11" ht="12.5" x14ac:dyDescent="0.25">
      <c r="A246" s="37">
        <v>45678</v>
      </c>
      <c r="B246" s="38" t="s">
        <v>54</v>
      </c>
      <c r="C246" s="39" t="s">
        <v>197</v>
      </c>
      <c r="D246" s="38" t="s">
        <v>349</v>
      </c>
      <c r="E246" s="40" t="s">
        <v>63</v>
      </c>
      <c r="F246" s="40" t="s">
        <v>87</v>
      </c>
      <c r="G246" s="41">
        <v>0.25</v>
      </c>
      <c r="H246" s="41">
        <v>0.25</v>
      </c>
      <c r="I246" s="41">
        <f t="shared" si="8"/>
        <v>0</v>
      </c>
      <c r="J246" s="45"/>
      <c r="K246" s="43" t="s">
        <v>365</v>
      </c>
    </row>
    <row r="247" spans="1:11" ht="12.5" x14ac:dyDescent="0.25">
      <c r="A247" s="37">
        <v>45678</v>
      </c>
      <c r="B247" s="38" t="s">
        <v>54</v>
      </c>
      <c r="C247" s="39" t="s">
        <v>227</v>
      </c>
      <c r="D247" s="38" t="s">
        <v>347</v>
      </c>
      <c r="E247" s="40" t="s">
        <v>49</v>
      </c>
      <c r="F247" s="40" t="s">
        <v>104</v>
      </c>
      <c r="G247" s="41">
        <v>4</v>
      </c>
      <c r="H247" s="41">
        <v>4.25</v>
      </c>
      <c r="I247" s="41">
        <f t="shared" si="8"/>
        <v>0.25</v>
      </c>
      <c r="J247" s="53" t="s">
        <v>413</v>
      </c>
      <c r="K247" s="43" t="s">
        <v>352</v>
      </c>
    </row>
    <row r="248" spans="1:11" ht="12.5" x14ac:dyDescent="0.25">
      <c r="A248" s="37">
        <v>45678</v>
      </c>
      <c r="B248" s="38" t="s">
        <v>54</v>
      </c>
      <c r="C248" s="39" t="s">
        <v>227</v>
      </c>
      <c r="D248" s="38" t="s">
        <v>353</v>
      </c>
      <c r="E248" s="40" t="s">
        <v>49</v>
      </c>
      <c r="F248" s="40" t="s">
        <v>104</v>
      </c>
      <c r="G248" s="41">
        <v>0.5</v>
      </c>
      <c r="H248" s="41">
        <v>0.5</v>
      </c>
      <c r="I248" s="41">
        <f t="shared" si="8"/>
        <v>0</v>
      </c>
      <c r="J248" s="53" t="s">
        <v>412</v>
      </c>
      <c r="K248" s="43"/>
    </row>
    <row r="249" spans="1:11" ht="12.5" x14ac:dyDescent="0.25">
      <c r="A249" s="37">
        <v>45679</v>
      </c>
      <c r="B249" s="38" t="s">
        <v>54</v>
      </c>
      <c r="C249" s="39" t="s">
        <v>333</v>
      </c>
      <c r="D249" s="38" t="s">
        <v>362</v>
      </c>
      <c r="E249" s="40" t="s">
        <v>49</v>
      </c>
      <c r="F249" s="40" t="s">
        <v>104</v>
      </c>
      <c r="G249" s="41">
        <v>2</v>
      </c>
      <c r="H249" s="41">
        <v>2</v>
      </c>
      <c r="I249" s="41">
        <f t="shared" si="8"/>
        <v>0</v>
      </c>
      <c r="J249" s="53" t="s">
        <v>410</v>
      </c>
      <c r="K249" s="43"/>
    </row>
    <row r="250" spans="1:11" ht="12.5" x14ac:dyDescent="0.25">
      <c r="A250" s="37">
        <v>45679</v>
      </c>
      <c r="B250" s="38" t="s">
        <v>54</v>
      </c>
      <c r="C250" s="39" t="s">
        <v>227</v>
      </c>
      <c r="D250" s="38" t="s">
        <v>363</v>
      </c>
      <c r="E250" s="40" t="s">
        <v>63</v>
      </c>
      <c r="F250" s="40" t="s">
        <v>348</v>
      </c>
      <c r="G250" s="41">
        <v>2</v>
      </c>
      <c r="H250" s="41">
        <v>2</v>
      </c>
      <c r="I250" s="41">
        <f t="shared" si="8"/>
        <v>0</v>
      </c>
      <c r="J250" s="53" t="s">
        <v>411</v>
      </c>
      <c r="K250" s="43"/>
    </row>
    <row r="251" spans="1:11" ht="12.5" x14ac:dyDescent="0.25">
      <c r="A251" s="37">
        <v>45680</v>
      </c>
      <c r="B251" s="38" t="s">
        <v>54</v>
      </c>
      <c r="C251" s="39" t="s">
        <v>227</v>
      </c>
      <c r="D251" s="38" t="s">
        <v>355</v>
      </c>
      <c r="E251" s="40" t="s">
        <v>49</v>
      </c>
      <c r="F251" s="40" t="s">
        <v>88</v>
      </c>
      <c r="G251" s="41">
        <v>1</v>
      </c>
      <c r="H251" s="41">
        <v>1</v>
      </c>
      <c r="I251" s="41">
        <f t="shared" si="8"/>
        <v>0</v>
      </c>
      <c r="J251" s="53" t="s">
        <v>410</v>
      </c>
      <c r="K251" s="43"/>
    </row>
    <row r="252" spans="1:11" ht="12.5" x14ac:dyDescent="0.25">
      <c r="A252" s="37">
        <v>45680</v>
      </c>
      <c r="B252" s="38" t="s">
        <v>54</v>
      </c>
      <c r="C252" s="39" t="s">
        <v>333</v>
      </c>
      <c r="D252" s="38" t="s">
        <v>356</v>
      </c>
      <c r="E252" s="40" t="s">
        <v>49</v>
      </c>
      <c r="F252" s="40" t="s">
        <v>104</v>
      </c>
      <c r="G252" s="41">
        <v>2</v>
      </c>
      <c r="H252" s="41">
        <v>2</v>
      </c>
      <c r="I252" s="41">
        <f t="shared" si="8"/>
        <v>0</v>
      </c>
      <c r="J252" s="53" t="s">
        <v>410</v>
      </c>
      <c r="K252" s="43"/>
    </row>
    <row r="253" spans="1:11" ht="12.5" x14ac:dyDescent="0.25">
      <c r="A253" s="37">
        <v>45680</v>
      </c>
      <c r="B253" s="38" t="s">
        <v>54</v>
      </c>
      <c r="C253" s="39" t="s">
        <v>227</v>
      </c>
      <c r="D253" s="38" t="s">
        <v>357</v>
      </c>
      <c r="E253" s="40" t="s">
        <v>63</v>
      </c>
      <c r="F253" s="40" t="s">
        <v>348</v>
      </c>
      <c r="G253" s="41">
        <v>4</v>
      </c>
      <c r="H253" s="41">
        <v>4</v>
      </c>
      <c r="I253" s="41">
        <f t="shared" si="8"/>
        <v>0</v>
      </c>
      <c r="J253" s="53" t="s">
        <v>411</v>
      </c>
      <c r="K253" s="43"/>
    </row>
    <row r="254" spans="1:11" ht="12.5" x14ac:dyDescent="0.25">
      <c r="A254" s="37">
        <v>45680</v>
      </c>
      <c r="B254" s="38" t="s">
        <v>54</v>
      </c>
      <c r="C254" s="39" t="s">
        <v>315</v>
      </c>
      <c r="D254" s="38" t="s">
        <v>407</v>
      </c>
      <c r="E254" s="40" t="s">
        <v>63</v>
      </c>
      <c r="F254" s="40" t="s">
        <v>86</v>
      </c>
      <c r="G254" s="41">
        <v>0.25</v>
      </c>
      <c r="H254" s="41">
        <v>0.25</v>
      </c>
      <c r="I254" s="41">
        <f t="shared" si="8"/>
        <v>0</v>
      </c>
      <c r="J254" s="53" t="s">
        <v>408</v>
      </c>
      <c r="K254" s="43"/>
    </row>
    <row r="255" spans="1:11" ht="12.5" x14ac:dyDescent="0.25">
      <c r="A255" s="37">
        <v>45680</v>
      </c>
      <c r="B255" s="38" t="s">
        <v>54</v>
      </c>
      <c r="C255" s="39" t="s">
        <v>79</v>
      </c>
      <c r="D255" s="38" t="s">
        <v>358</v>
      </c>
      <c r="E255" s="40" t="s">
        <v>63</v>
      </c>
      <c r="F255" s="40" t="s">
        <v>86</v>
      </c>
      <c r="G255" s="41">
        <v>1</v>
      </c>
      <c r="H255" s="41">
        <v>1.1000000000000001</v>
      </c>
      <c r="I255" s="41">
        <f t="shared" si="8"/>
        <v>0.10000000000000009</v>
      </c>
      <c r="J255" s="45"/>
      <c r="K255" s="43" t="s">
        <v>365</v>
      </c>
    </row>
    <row r="256" spans="1:11" ht="12.5" x14ac:dyDescent="0.25">
      <c r="A256" s="37">
        <v>45680</v>
      </c>
      <c r="B256" s="38" t="s">
        <v>54</v>
      </c>
      <c r="C256" s="39" t="s">
        <v>197</v>
      </c>
      <c r="D256" s="38" t="s">
        <v>414</v>
      </c>
      <c r="E256" s="40" t="s">
        <v>63</v>
      </c>
      <c r="F256" s="40" t="s">
        <v>87</v>
      </c>
      <c r="G256" s="41">
        <v>1</v>
      </c>
      <c r="H256" s="41">
        <v>1</v>
      </c>
      <c r="I256" s="41">
        <f t="shared" si="8"/>
        <v>0</v>
      </c>
      <c r="J256" s="45"/>
      <c r="K256" s="43"/>
    </row>
    <row r="257" spans="1:11" ht="12.5" x14ac:dyDescent="0.25">
      <c r="A257" s="37">
        <v>45680</v>
      </c>
      <c r="B257" s="38" t="s">
        <v>42</v>
      </c>
      <c r="C257" s="39" t="s">
        <v>197</v>
      </c>
      <c r="D257" s="38" t="s">
        <v>415</v>
      </c>
      <c r="E257" s="40" t="s">
        <v>63</v>
      </c>
      <c r="F257" s="40" t="s">
        <v>87</v>
      </c>
      <c r="G257" s="41">
        <v>1</v>
      </c>
      <c r="H257" s="41"/>
      <c r="I257" s="41">
        <f t="shared" si="8"/>
        <v>-1</v>
      </c>
      <c r="J257" s="45"/>
      <c r="K257" s="43"/>
    </row>
    <row r="258" spans="1:11" ht="12.5" x14ac:dyDescent="0.25">
      <c r="A258" s="37">
        <v>45680</v>
      </c>
      <c r="B258" s="38" t="s">
        <v>42</v>
      </c>
      <c r="C258" s="39" t="s">
        <v>360</v>
      </c>
      <c r="D258" s="38" t="s">
        <v>359</v>
      </c>
      <c r="E258" s="40" t="s">
        <v>63</v>
      </c>
      <c r="F258" s="40" t="s">
        <v>87</v>
      </c>
      <c r="G258" s="41">
        <v>0.5</v>
      </c>
      <c r="H258" s="41"/>
      <c r="I258" s="41">
        <f t="shared" si="8"/>
        <v>-0.5</v>
      </c>
      <c r="J258" s="45"/>
      <c r="K258" s="43"/>
    </row>
    <row r="259" spans="1:11" ht="12.5" x14ac:dyDescent="0.25">
      <c r="A259" s="37">
        <v>45680</v>
      </c>
      <c r="B259" s="38" t="s">
        <v>42</v>
      </c>
      <c r="C259" s="39" t="s">
        <v>345</v>
      </c>
      <c r="D259" s="38" t="s">
        <v>354</v>
      </c>
      <c r="E259" s="40" t="s">
        <v>43</v>
      </c>
      <c r="F259" s="40" t="s">
        <v>348</v>
      </c>
      <c r="G259" s="41">
        <v>2</v>
      </c>
      <c r="H259" s="41"/>
      <c r="I259" s="41">
        <f t="shared" si="8"/>
        <v>-2</v>
      </c>
      <c r="J259" s="45"/>
      <c r="K259" s="43"/>
    </row>
    <row r="260" spans="1:11" ht="12.5" x14ac:dyDescent="0.25">
      <c r="A260" s="37"/>
      <c r="B260" s="38"/>
      <c r="C260" s="39" t="s">
        <v>17</v>
      </c>
      <c r="D260" s="38"/>
      <c r="E260" s="40"/>
      <c r="F260" s="40"/>
      <c r="G260" s="41"/>
      <c r="H260" s="41"/>
      <c r="I260" s="41">
        <f t="shared" si="8"/>
        <v>0</v>
      </c>
      <c r="J260" s="45"/>
      <c r="K260" s="43"/>
    </row>
    <row r="261" spans="1:11" ht="12.5" x14ac:dyDescent="0.25">
      <c r="A261" s="37"/>
      <c r="B261" s="38"/>
      <c r="C261" s="39" t="s">
        <v>17</v>
      </c>
      <c r="D261" s="38"/>
      <c r="E261" s="40"/>
      <c r="F261" s="40"/>
      <c r="G261" s="41"/>
      <c r="H261" s="41"/>
      <c r="I261" s="41">
        <f t="shared" si="8"/>
        <v>0</v>
      </c>
      <c r="J261" s="45"/>
      <c r="K261" s="43"/>
    </row>
    <row r="262" spans="1:11" ht="12.5" x14ac:dyDescent="0.25">
      <c r="A262" s="48"/>
      <c r="B262" s="49"/>
      <c r="C262" s="49"/>
      <c r="D262" s="49"/>
      <c r="E262" s="49" t="s">
        <v>18</v>
      </c>
      <c r="F262" s="49"/>
      <c r="G262" s="50">
        <f t="shared" ref="G262:H262" si="9">SUM(G239:G261)</f>
        <v>27.25</v>
      </c>
      <c r="H262" s="50">
        <f t="shared" si="9"/>
        <v>24.1</v>
      </c>
      <c r="I262" s="50">
        <f t="shared" si="8"/>
        <v>-3.1499999999999986</v>
      </c>
      <c r="J262" s="51"/>
      <c r="K262" s="52"/>
    </row>
    <row r="263" spans="1:11" ht="15" customHeight="1" x14ac:dyDescent="0.25">
      <c r="E263" s="40"/>
    </row>
    <row r="264" spans="1:11" ht="15" customHeight="1" x14ac:dyDescent="0.3">
      <c r="G264" s="38" t="s">
        <v>18</v>
      </c>
      <c r="H264" s="54">
        <f>H44+H79+H113+H146+H189+H211+H235+H262</f>
        <v>251.68999999999997</v>
      </c>
    </row>
  </sheetData>
  <autoFilter ref="A1:K44" xr:uid="{00000000-0009-0000-0000-000000000000}"/>
  <customSheetViews>
    <customSheetView guid="{8BAC9A6B-5D32-4E8D-967D-E17D357516F8}" filter="1" showAutoFilter="1">
      <pageMargins left="0" right="0" top="0" bottom="0" header="0" footer="0"/>
      <autoFilter ref="A1:K15" xr:uid="{8E0EAE7C-0B36-4FA4-85FC-A2745880402C}">
        <filterColumn colId="1">
          <filters blank="1">
            <filter val="- Weekplan item 1_x000a_- Weekplan item 2_x000a_- Weekplan item 3_x000a_- etc"/>
            <filter val="[Enter known possible issues that are a risk for you to finish the high level week planning]"/>
          </filters>
        </filterColumn>
      </autoFilter>
    </customSheetView>
  </customSheetViews>
  <mergeCells count="24">
    <mergeCell ref="B191:K191"/>
    <mergeCell ref="B192:K192"/>
    <mergeCell ref="A212:K212"/>
    <mergeCell ref="B116:K116"/>
    <mergeCell ref="A147:K147"/>
    <mergeCell ref="B148:K148"/>
    <mergeCell ref="B149:K149"/>
    <mergeCell ref="A190:K190"/>
    <mergeCell ref="A236:K236"/>
    <mergeCell ref="B237:K237"/>
    <mergeCell ref="B238:K238"/>
    <mergeCell ref="A2:K2"/>
    <mergeCell ref="B3:K3"/>
    <mergeCell ref="B4:K4"/>
    <mergeCell ref="A45:K45"/>
    <mergeCell ref="B46:K46"/>
    <mergeCell ref="B47:K47"/>
    <mergeCell ref="A80:K80"/>
    <mergeCell ref="B81:K81"/>
    <mergeCell ref="B82:K82"/>
    <mergeCell ref="A114:K114"/>
    <mergeCell ref="B213:K213"/>
    <mergeCell ref="B214:K214"/>
    <mergeCell ref="B115:K115"/>
  </mergeCells>
  <conditionalFormatting sqref="B5:B43 B46:B78 B83:B112 B117:B145 B150:B188 B193:B210 B215:B234 B239:B261">
    <cfRule type="containsText" dxfId="10" priority="6" operator="containsText" text="Unplanned">
      <formula>NOT(ISERROR(SEARCH(("Unplanned"),(B5))))</formula>
    </cfRule>
    <cfRule type="containsText" dxfId="9" priority="7" operator="containsText" text="Planned">
      <formula>NOT(ISERROR(SEARCH(("Planned"),(B5))))</formula>
    </cfRule>
    <cfRule type="containsText" dxfId="8" priority="8" operator="containsText" text="In-Progress">
      <formula>NOT(ISERROR(SEARCH(("In-Progress"),(B5))))</formula>
    </cfRule>
    <cfRule type="containsText" dxfId="7" priority="9" operator="containsText" text="Blocked">
      <formula>NOT(ISERROR(SEARCH(("Blocked"),(B5))))</formula>
    </cfRule>
    <cfRule type="containsText" dxfId="6" priority="10" operator="containsText" text="Done">
      <formula>NOT(ISERROR(SEARCH(("Done"),(B5))))</formula>
    </cfRule>
  </conditionalFormatting>
  <conditionalFormatting sqref="B5:B44 B46:B79 B81:B113 B115:B146 B148:B189 B191:B211 B213:B235 B237:B262">
    <cfRule type="containsText" dxfId="5" priority="11" operator="containsText" text="Unplanned">
      <formula>NOT(ISERROR(SEARCH(("Unplanned"),(B5))))</formula>
    </cfRule>
    <cfRule type="containsText" dxfId="4" priority="12" operator="containsText" text="Cancelled">
      <formula>NOT(ISERROR(SEARCH(("Cancelled"),(B5))))</formula>
    </cfRule>
  </conditionalFormatting>
  <conditionalFormatting sqref="G1 G3:G44 G48:G79 G83:G113 G117:G146 G150:G189 G193:G211 G215:G235 G239:G262">
    <cfRule type="cellIs" dxfId="3" priority="15" operator="greaterThan">
      <formula>4</formula>
    </cfRule>
  </conditionalFormatting>
  <conditionalFormatting sqref="H1:H262">
    <cfRule type="containsBlanks" dxfId="2" priority="16">
      <formula>LEN(TRIM(H1))=0</formula>
    </cfRule>
  </conditionalFormatting>
  <conditionalFormatting sqref="I5:I44 I48:I79 I83:I113 I117:I146 I150:I189 I193:I211 I215:I235 I239:I262">
    <cfRule type="expression" dxfId="1" priority="13">
      <formula>H5/G5&gt;=1.5</formula>
    </cfRule>
    <cfRule type="expression" dxfId="0" priority="14">
      <formula>H5/G5&lt;=0.5</formula>
    </cfRule>
  </conditionalFormatting>
  <dataValidations count="1">
    <dataValidation type="list" allowBlank="1" sqref="F215:F234 F5:F43 F48:F78 F83:F112 F117:F145 F150:F188 F193:F210 F239:F261" xr:uid="{0FAB3063-668E-4727-8636-10D0A6594410}">
      <formula1>"ILO 0.2, ILO 1.2, ILO 2.2, ILO 6.2, ILO 8.1, ILO 8.2, ILO 11.1"</formula1>
    </dataValidation>
  </dataValidations>
  <hyperlinks>
    <hyperlink ref="J29" r:id="rId1" xr:uid="{0999D960-5356-4EE8-BA28-70F36BB764AC}"/>
    <hyperlink ref="J202" r:id="rId2" xr:uid="{6C2E871F-AE23-4B7F-AE67-E54AFFFB2865}"/>
    <hyperlink ref="J19" r:id="rId3" xr:uid="{D3ECF7D4-FE61-4014-AD6D-80A6EB386F3B}"/>
    <hyperlink ref="J30" r:id="rId4" xr:uid="{0195C0B3-7CD1-44B4-82C3-5A7676995283}"/>
    <hyperlink ref="J14" r:id="rId5" xr:uid="{624A0C6E-0463-4650-BE7F-3063558F6AEC}"/>
    <hyperlink ref="J16" r:id="rId6" xr:uid="{D311213D-FDBF-422A-8A0F-A3A774313C4D}"/>
    <hyperlink ref="J24" r:id="rId7" xr:uid="{251EE4FD-29AC-4039-88AE-1BE6E21A43DF}"/>
    <hyperlink ref="J25" r:id="rId8" xr:uid="{F0A21874-F6B6-4315-89E3-74E68C1535E5}"/>
    <hyperlink ref="J26" r:id="rId9" xr:uid="{4F4FF653-942A-4871-8451-05E1E022475E}"/>
    <hyperlink ref="J27" r:id="rId10" xr:uid="{94D5713D-0ADE-44C1-80F3-4159028BA985}"/>
    <hyperlink ref="J28" r:id="rId11" xr:uid="{2089EA86-C989-4846-988A-52625CB7CED6}"/>
    <hyperlink ref="J40" r:id="rId12" xr:uid="{EE6BC095-F84C-4797-8336-A77181662EC4}"/>
    <hyperlink ref="J38" r:id="rId13" xr:uid="{FADA857F-2160-4B77-A665-D5170E8E2E9C}"/>
    <hyperlink ref="J49" r:id="rId14" xr:uid="{F45E9A0F-F25E-45E9-B6E8-1EFE16531BAA}"/>
    <hyperlink ref="J50" r:id="rId15" xr:uid="{2DF97573-509A-4D69-890F-C869F3661AF3}"/>
    <hyperlink ref="J51" r:id="rId16" xr:uid="{C3C0293F-32A1-4F62-B1BE-316E4AD8CC4F}"/>
    <hyperlink ref="J52" r:id="rId17" xr:uid="{8B5AB2E2-BEA3-4A40-B04E-6A2A1F625B25}"/>
    <hyperlink ref="J53" r:id="rId18" xr:uid="{BAA5F630-ADE6-48B4-A980-162D9AAEB19F}"/>
    <hyperlink ref="J39" r:id="rId19" xr:uid="{1BC109DC-59F0-4FAB-8FFB-96553385B840}"/>
    <hyperlink ref="J65" r:id="rId20" xr:uid="{40D8FB9F-E7D9-424E-AED0-17532202FA13}"/>
    <hyperlink ref="J12" r:id="rId21" xr:uid="{2C0BC0C6-F45F-4C02-9DBA-63F57F639E91}"/>
    <hyperlink ref="J95" r:id="rId22" xr:uid="{1DC84B46-1E68-4DBC-A6FE-E9C53DE35B23}"/>
    <hyperlink ref="J127" r:id="rId23" xr:uid="{D1FB496C-7A2A-416D-BF8F-0BFB1CFBAEA0}"/>
    <hyperlink ref="J125" r:id="rId24" xr:uid="{958A09CA-9529-4456-9B5C-00CFF2E8A758}"/>
    <hyperlink ref="J8" r:id="rId25" xr:uid="{17C3D987-6D77-4313-AB92-4D10D6C94A82}"/>
    <hyperlink ref="J58" r:id="rId26" xr:uid="{7A16ECDA-E673-4DB2-88C9-AA9E8A45FFBF}"/>
    <hyperlink ref="J21" r:id="rId27" xr:uid="{E22932D6-A5A6-4DED-A9BF-C4F3716233EF}"/>
    <hyperlink ref="J62" r:id="rId28" xr:uid="{DE70428A-D51B-4CEB-AE8F-2ED4D1FAB935}"/>
    <hyperlink ref="J67" r:id="rId29" xr:uid="{F8F6F7B5-E0E8-4707-911C-D5AC85DF0635}"/>
    <hyperlink ref="J72" r:id="rId30" xr:uid="{8A8D93EA-6C95-4AFB-AB7E-83A57999BA3A}"/>
    <hyperlink ref="J54" r:id="rId31" xr:uid="{7DB950E0-9E0C-4437-AA0F-D90B93AE97F1}"/>
    <hyperlink ref="J108" r:id="rId32" xr:uid="{C6BB4405-69CC-4251-A2C7-3ACCE2EC701F}"/>
    <hyperlink ref="J106" r:id="rId33" xr:uid="{FEEAD5C8-DD32-4F19-81D5-DEC1312E0A53}"/>
    <hyperlink ref="J103" r:id="rId34" xr:uid="{37792C53-A5F6-47A7-BD25-A16FBC5E031D}"/>
    <hyperlink ref="J102" r:id="rId35" xr:uid="{FA0B71BB-DA9D-423C-BE0F-B440A35397E3}"/>
    <hyperlink ref="J101" r:id="rId36" xr:uid="{AC4A114F-8F9B-45B9-98BB-C1519CE8B74F}"/>
    <hyperlink ref="J100" r:id="rId37" xr:uid="{DE53A85F-6569-4F16-BB65-5881C02A263C}"/>
    <hyperlink ref="J99" r:id="rId38" xr:uid="{CA28DCB4-BEA7-4E1F-BC91-9640FF59ADDB}"/>
    <hyperlink ref="J96" r:id="rId39" xr:uid="{F228B6BD-97DD-47CA-BC2A-80309B98767E}"/>
    <hyperlink ref="J94" r:id="rId40" xr:uid="{E64A91C3-1636-410A-BE8C-959BDB71FCEE}"/>
    <hyperlink ref="J85" r:id="rId41" xr:uid="{1D4C20E4-8943-40C5-BCE2-D8DEDDB88F32}"/>
    <hyperlink ref="J88" r:id="rId42" xr:uid="{C785C62F-CE68-47AB-A3F7-F0F233377402}"/>
    <hyperlink ref="J87" r:id="rId43" xr:uid="{AFAC5635-1352-40EF-B01A-2BEABDBE5103}"/>
    <hyperlink ref="J90" r:id="rId44" xr:uid="{951CBD6B-F9B6-4773-B2EE-750A9AE8DE24}"/>
    <hyperlink ref="J119" r:id="rId45" xr:uid="{401B96C7-437E-4E06-83BE-8D5B37829D0D}"/>
    <hyperlink ref="J120" r:id="rId46" xr:uid="{A3002450-FCAA-4258-8616-37DE12E2394B}"/>
    <hyperlink ref="J121" r:id="rId47" xr:uid="{F980B757-E21B-4FB2-B9FF-78CE86FA499E}"/>
    <hyperlink ref="J122" r:id="rId48" xr:uid="{CCB1239C-05E5-410D-B1B8-F7985DAB17A9}"/>
    <hyperlink ref="J123" r:id="rId49" xr:uid="{A1DD17DB-1709-4ECB-B97A-F97FA4794EDA}"/>
    <hyperlink ref="J129" r:id="rId50" xr:uid="{4BCEEA89-4A23-4DD5-9F5F-55423932BD36}"/>
    <hyperlink ref="J130" r:id="rId51" xr:uid="{1B78C30B-8A16-41C4-AB20-BA1BFDBDBABB}"/>
    <hyperlink ref="J131" r:id="rId52" xr:uid="{8C1AE937-5EC3-4441-9A47-CAC18CE5291A}"/>
    <hyperlink ref="J132" r:id="rId53" xr:uid="{1DE8A666-FEED-4598-9B49-698DA973ABAE}"/>
    <hyperlink ref="J133" r:id="rId54" xr:uid="{8694D88F-A0B6-4E0F-8EE9-5CF5D5FBEB29}"/>
    <hyperlink ref="J135" r:id="rId55" xr:uid="{E5EF9AD8-BD20-4256-81D4-DABAA6E3AEAE}"/>
    <hyperlink ref="J137" r:id="rId56" xr:uid="{77EBD75F-0EBD-46B0-B36F-642B49575263}"/>
    <hyperlink ref="J141" r:id="rId57" xr:uid="{23EF4CF7-BC23-4DA2-9DF2-A36DE123B3C8}"/>
    <hyperlink ref="J142" r:id="rId58" xr:uid="{F27A29CF-7D8B-4FAE-9A27-66C69E1A9FB1}"/>
    <hyperlink ref="J152" r:id="rId59" xr:uid="{FBD4A9CE-B80E-4FDD-9BC7-9B0A53CACD6B}"/>
    <hyperlink ref="J154" r:id="rId60" xr:uid="{E25F1E72-58B7-4CAA-B9CC-FCFADDF51FA2}"/>
    <hyperlink ref="J155" r:id="rId61" xr:uid="{C52D83E0-D93E-476D-8C13-E66A95524AA9}"/>
    <hyperlink ref="J156" r:id="rId62" xr:uid="{258352AC-A8C0-4962-A9CB-046FDED49516}"/>
    <hyperlink ref="J157" r:id="rId63" xr:uid="{286F49D5-607E-4583-AA97-BF6E01E8AEC0}"/>
    <hyperlink ref="J161" r:id="rId64" xr:uid="{6A08F166-B76C-4F3D-AB91-A22868A06A15}"/>
    <hyperlink ref="J162" r:id="rId65" xr:uid="{3C5C7ABB-F4AF-4A19-BDDB-A164CE2C030B}"/>
    <hyperlink ref="J163" r:id="rId66" xr:uid="{72E3399C-04FD-4EDF-B34E-C1DA18E4847A}"/>
    <hyperlink ref="J164" r:id="rId67" xr:uid="{72A404C3-0939-48B8-82B6-32629376C411}"/>
    <hyperlink ref="J159" r:id="rId68" xr:uid="{B61799DA-BC55-41CD-91A2-73C7879F1C52}"/>
    <hyperlink ref="J166" r:id="rId69" xr:uid="{92670AF5-CAEA-4EF1-AD80-9EE052A2AAC0}"/>
    <hyperlink ref="J171" r:id="rId70" xr:uid="{241B4018-C979-435A-941E-1131D8099A87}"/>
    <hyperlink ref="J170" r:id="rId71" xr:uid="{9DFA88F1-6D3E-4239-8F25-7C4FFD2673C0}"/>
    <hyperlink ref="J173" r:id="rId72" xr:uid="{6ABB1506-E990-4071-84FC-879BDB5C2DA5}"/>
    <hyperlink ref="J172" r:id="rId73" xr:uid="{567E1DF4-01E1-48DD-A805-324BC78589CD}"/>
    <hyperlink ref="J182" r:id="rId74" xr:uid="{ECAF9A00-598A-4C75-BD6B-9F6B1600B9D9}"/>
    <hyperlink ref="J183" r:id="rId75" xr:uid="{9B6DD97C-B7F9-4A1C-841E-6BBB366E8BF2}"/>
    <hyperlink ref="J184" r:id="rId76" xr:uid="{4BDA8C1E-E7E6-46C9-8016-1F265E7ABF04}"/>
    <hyperlink ref="J175" r:id="rId77" display="https://github.com/BredaUniversityADSAI/2024-25b-fai1-adsai-MaksBurchard240894/blob/0e7620868343501c8dfcfa39189c1d60ae3a3b5e/Block%20B/Quizzes%20-%20Project%201B%202024-2025%20-%20Breda%20University%20of%20Applied%20Sciences%20Multivariable%20Calculus.pdf " xr:uid="{6F7C78EB-7086-4D1A-9C00-64753A3A3D8F}"/>
    <hyperlink ref="J179" r:id="rId78" xr:uid="{E67066F0-DB86-492D-80E1-E00562C5F909}"/>
    <hyperlink ref="J181" r:id="rId79" xr:uid="{C3CF637D-B23A-465B-AC92-DD964E23C581}"/>
    <hyperlink ref="J196" r:id="rId80" xr:uid="{4CC449F2-8BE1-4179-90AB-1FD8C3C34305}"/>
    <hyperlink ref="J197" r:id="rId81" xr:uid="{039094A2-5F6C-41B2-8C16-F2DC9B9205E2}"/>
    <hyperlink ref="J199" r:id="rId82" xr:uid="{27E9D5B9-419D-4755-AE0B-3E418D0E9364}"/>
    <hyperlink ref="J200" r:id="rId83" xr:uid="{DBECD5F6-BD3B-4BA4-8D67-42DA82F67066}"/>
    <hyperlink ref="J208" r:id="rId84" xr:uid="{CB09F85E-4480-4258-9020-8065672DBDDD}"/>
    <hyperlink ref="J206" r:id="rId85" xr:uid="{96AF703F-EAD9-4BD2-845B-FDC354C535B1}"/>
    <hyperlink ref="J207" r:id="rId86" xr:uid="{AF432862-F798-44E3-87CC-C13CEB117C75}"/>
    <hyperlink ref="J201" r:id="rId87" xr:uid="{B1F4EF97-847C-4597-B0F9-C545FC662448}"/>
    <hyperlink ref="J223" r:id="rId88" xr:uid="{91613665-4958-4BF8-8F72-E2CA1A6AE9C1}"/>
    <hyperlink ref="J228" r:id="rId89" xr:uid="{F29D3530-8E30-4250-86FA-A2FDF3904D83}"/>
    <hyperlink ref="J224" r:id="rId90" xr:uid="{2990498E-CADD-4F3B-B270-86EEC0EB7CCE}"/>
    <hyperlink ref="J225" r:id="rId91" xr:uid="{250B1961-861B-49B0-8368-EA87814535B8}"/>
    <hyperlink ref="J230" r:id="rId92" xr:uid="{E183232F-EA5A-4B6E-8CFF-DA9B9914B627}"/>
    <hyperlink ref="J231" r:id="rId93" xr:uid="{EFCF5C0A-E154-4514-9E30-5E20FF6EDA00}"/>
    <hyperlink ref="J239" r:id="rId94" xr:uid="{5BAE8CCE-DAC0-4B75-8943-53DD6F6B2BF6}"/>
    <hyperlink ref="J254" r:id="rId95" xr:uid="{0E91B18A-45EB-4F50-9AAE-FF4D618BC908}"/>
    <hyperlink ref="J240" r:id="rId96" xr:uid="{441BEB57-2195-436B-BCB3-8CE24964BFBD}"/>
    <hyperlink ref="J241" r:id="rId97" xr:uid="{11A4B9A5-86F6-4EAC-B17C-222A33BCBB78}"/>
    <hyperlink ref="J243" r:id="rId98" xr:uid="{6661CD06-A836-47F1-8B27-3662E66C6F94}"/>
    <hyperlink ref="J249" r:id="rId99" xr:uid="{C1180E4D-13B6-4B8E-963C-F99496D4E6E3}"/>
    <hyperlink ref="J252" r:id="rId100" xr:uid="{E2AE8D27-FF41-4578-8366-83BB63CE6F29}"/>
    <hyperlink ref="J253" r:id="rId101" xr:uid="{1A45F8B2-47F8-4971-A6E6-1FF0E5AAC481}"/>
    <hyperlink ref="J250" r:id="rId102" xr:uid="{1BE0AAD3-6C80-4D51-AD77-D4D4E4578DBF}"/>
    <hyperlink ref="J251" r:id="rId103" xr:uid="{16CA5873-1B08-42B1-8CFB-B21C99D3DA09}"/>
    <hyperlink ref="J248" r:id="rId104" xr:uid="{5579EECA-7B58-48DE-95CC-8A44F9E9CF3D}"/>
    <hyperlink ref="J247" r:id="rId105" xr:uid="{17750EDF-0632-423C-A63E-900EA839D2C0}"/>
  </hyperlinks>
  <pageMargins left="0.7" right="0.7" top="0.75" bottom="0.75" header="0.3" footer="0.3"/>
  <pageSetup paperSize="9" scale="52" fitToHeight="0" orientation="landscape" horizontalDpi="1200" verticalDpi="1200" r:id="rId106"/>
  <extLst>
    <ext xmlns:x14="http://schemas.microsoft.com/office/spreadsheetml/2009/9/main" uri="{CCE6A557-97BC-4b89-ADB6-D9C93CAAB3DF}">
      <x14:dataValidations xmlns:xm="http://schemas.microsoft.com/office/excel/2006/main" count="2">
        <x14:dataValidation type="list" allowBlank="1" xr:uid="{00000000-0002-0000-0000-000001000000}">
          <x14:formula1>
            <xm:f>'Drop-downs'!$B$2:$B$16</xm:f>
          </x14:formula1>
          <xm:sqref>E215:E234 E5:E43 E48:E78 E83:E112 E117:E145 E150:E188 E193:E210 E239:E261</xm:sqref>
        </x14:dataValidation>
        <x14:dataValidation type="list" allowBlank="1" xr:uid="{00000000-0002-0000-0000-000002000000}">
          <x14:formula1>
            <xm:f>'Drop-downs'!$A$2:$A$9</xm:f>
          </x14:formula1>
          <xm:sqref>B215:B234 B5:B43 B48:B78 B83:B112 B117:B145 B150:B188 B193:B210 B239:B261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K23"/>
  <sheetViews>
    <sheetView workbookViewId="0">
      <selection activeCell="D5" sqref="D5"/>
    </sheetView>
  </sheetViews>
  <sheetFormatPr defaultColWidth="14.453125" defaultRowHeight="15" customHeight="1" x14ac:dyDescent="0.25"/>
  <cols>
    <col min="2" max="2" width="27" customWidth="1"/>
    <col min="11" max="11" width="20.453125" customWidth="1"/>
  </cols>
  <sheetData>
    <row r="2" spans="2:11" ht="13" x14ac:dyDescent="0.3">
      <c r="B2" s="11" t="s">
        <v>27</v>
      </c>
      <c r="C2" s="2" t="s">
        <v>28</v>
      </c>
      <c r="D2" s="2" t="s">
        <v>29</v>
      </c>
      <c r="E2" s="2" t="s">
        <v>30</v>
      </c>
      <c r="F2" s="2" t="s">
        <v>31</v>
      </c>
      <c r="G2" s="2" t="s">
        <v>32</v>
      </c>
      <c r="H2" s="2" t="s">
        <v>33</v>
      </c>
      <c r="I2" s="2" t="s">
        <v>34</v>
      </c>
      <c r="J2" s="2" t="s">
        <v>35</v>
      </c>
      <c r="K2" s="3" t="s">
        <v>36</v>
      </c>
    </row>
    <row r="3" spans="2:11" ht="13" x14ac:dyDescent="0.3">
      <c r="B3" s="4" t="str">
        <f>'Drop-downs'!C2</f>
        <v>-</v>
      </c>
      <c r="C3" s="6"/>
      <c r="D3" s="6"/>
      <c r="E3" s="6"/>
      <c r="F3" s="6"/>
      <c r="G3" s="6"/>
      <c r="H3" s="6"/>
      <c r="I3" s="6"/>
      <c r="J3" s="6"/>
      <c r="K3" s="7">
        <f t="shared" ref="K3:K9" si="0">SUM(C3:J3)</f>
        <v>0</v>
      </c>
    </row>
    <row r="4" spans="2:11" ht="13" x14ac:dyDescent="0.3">
      <c r="B4" s="4" t="str">
        <f>'Drop-downs'!C3</f>
        <v>ILO 0.3</v>
      </c>
      <c r="C4" s="10" cm="1">
        <f t="array" ref="C4">IFERROR(SUM(_xlfn._xlws.FILTER('Worklog_Tasks&amp;Times'!$H$5:$H$17,'Worklog_Tasks&amp;Times'!$F$5:$F$17=$B4)),0)</f>
        <v>0</v>
      </c>
      <c r="D4" s="10" cm="1">
        <f t="array" ref="D4">IFERROR(SUM(_xlfn._xlws.FILTER('Worklog_Tasks&amp;Times'!$H$48:$H$77,'Worklog_Tasks&amp;Times'!$F$5:$F$17=$B4)),0)</f>
        <v>0</v>
      </c>
      <c r="E4" s="10" cm="1">
        <f t="array" ref="E4">IFERROR(SUM(_xlfn._xlws.FILTER('Worklog_Tasks&amp;Times'!$H$5:$H$17,'Worklog_Tasks&amp;Times'!$F$5:$F$17=$B4)),0)</f>
        <v>0</v>
      </c>
      <c r="F4" s="10" cm="1">
        <f t="array" ref="F4">IFERROR(SUM(_xlfn._xlws.FILTER('Worklog_Tasks&amp;Times'!$H$5:$H$17,'Worklog_Tasks&amp;Times'!$F$5:$F$17=$B4)),0)</f>
        <v>0</v>
      </c>
      <c r="G4" s="10" cm="1">
        <f t="array" ref="G4">IFERROR(SUM(_xlfn._xlws.FILTER('Worklog_Tasks&amp;Times'!$H$5:$H$17,'Worklog_Tasks&amp;Times'!$F$5:$F$17=$B4)),0)</f>
        <v>0</v>
      </c>
      <c r="H4" s="10" cm="1">
        <f t="array" ref="H4">IFERROR(SUM(_xlfn._xlws.FILTER('Worklog_Tasks&amp;Times'!$H$5:$H$17,'Worklog_Tasks&amp;Times'!$F$5:$F$17=$B4)),0)</f>
        <v>0</v>
      </c>
      <c r="I4" s="10" cm="1">
        <f t="array" ref="I4">IFERROR(SUM(_xlfn._xlws.FILTER('Worklog_Tasks&amp;Times'!$H$5:$H$17,'Worklog_Tasks&amp;Times'!$F$5:$F$17=$B4)),0)</f>
        <v>0</v>
      </c>
      <c r="J4" s="10" cm="1">
        <f t="array" ref="J4">IFERROR(SUM(_xlfn._xlws.FILTER('Worklog_Tasks&amp;Times'!$H$5:$H$17,'Worklog_Tasks&amp;Times'!$F$5:$F$17=$B4)),0)</f>
        <v>0</v>
      </c>
      <c r="K4" s="7">
        <f t="shared" si="0"/>
        <v>0</v>
      </c>
    </row>
    <row r="5" spans="2:11" ht="13" x14ac:dyDescent="0.3">
      <c r="B5" s="4" t="str">
        <f>'Drop-downs'!C4</f>
        <v>ILO 1.5</v>
      </c>
      <c r="C5" s="10" cm="1">
        <f t="array" ref="C5">IFERROR(SUM(_xlfn._xlws.FILTER('Worklog_Tasks&amp;Times'!$H$5:$H$17,'Worklog_Tasks&amp;Times'!$F$5:$F$17=$B5)),0)</f>
        <v>0</v>
      </c>
      <c r="D5" s="10" cm="1">
        <f t="array" ref="D5">IFERROR(SUM(_xlfn._xlws.FILTER('Worklog_Tasks&amp;Times'!$H$5:$H$17,'Worklog_Tasks&amp;Times'!$F$5:$F$17=$B5)),0)</f>
        <v>0</v>
      </c>
      <c r="E5" s="10" cm="1">
        <f t="array" ref="E5">IFERROR(SUM(_xlfn._xlws.FILTER('Worklog_Tasks&amp;Times'!$H$5:$H$17,'Worklog_Tasks&amp;Times'!$F$5:$F$17=$B5)),0)</f>
        <v>0</v>
      </c>
      <c r="F5" s="10" cm="1">
        <f t="array" ref="F5">IFERROR(SUM(_xlfn._xlws.FILTER('Worklog_Tasks&amp;Times'!$H$5:$H$17,'Worklog_Tasks&amp;Times'!$F$5:$F$17=$B5)),0)</f>
        <v>0</v>
      </c>
      <c r="G5" s="10" cm="1">
        <f t="array" ref="G5">IFERROR(SUM(_xlfn._xlws.FILTER('Worklog_Tasks&amp;Times'!$H$5:$H$17,'Worklog_Tasks&amp;Times'!$F$5:$F$17=$B5)),0)</f>
        <v>0</v>
      </c>
      <c r="H5" s="10" cm="1">
        <f t="array" ref="H5">IFERROR(SUM(_xlfn._xlws.FILTER('Worklog_Tasks&amp;Times'!$H$5:$H$17,'Worklog_Tasks&amp;Times'!$F$5:$F$17=$B5)),0)</f>
        <v>0</v>
      </c>
      <c r="I5" s="10" cm="1">
        <f t="array" ref="I5">IFERROR(SUM(_xlfn._xlws.FILTER('Worklog_Tasks&amp;Times'!$H$5:$H$17,'Worklog_Tasks&amp;Times'!$F$5:$F$17=$B5)),0)</f>
        <v>0</v>
      </c>
      <c r="J5" s="10" cm="1">
        <f t="array" ref="J5">IFERROR(SUM(_xlfn._xlws.FILTER('Worklog_Tasks&amp;Times'!$H$5:$H$17,'Worklog_Tasks&amp;Times'!$F$5:$F$17=$B5)),0)</f>
        <v>0</v>
      </c>
      <c r="K5" s="7">
        <f t="shared" si="0"/>
        <v>0</v>
      </c>
    </row>
    <row r="6" spans="2:11" ht="13" x14ac:dyDescent="0.3">
      <c r="B6" s="4" t="str">
        <f>'Drop-downs'!C5</f>
        <v>ILO 2.5</v>
      </c>
      <c r="C6" s="10" cm="1">
        <f t="array" ref="C6">IFERROR(SUM(_xlfn._xlws.FILTER('Worklog_Tasks&amp;Times'!$H$5:$H$17,'Worklog_Tasks&amp;Times'!$F$5:$F$17=$B6)),0)</f>
        <v>0</v>
      </c>
      <c r="D6" s="10" cm="1">
        <f t="array" ref="D6">IFERROR(SUM(_xlfn._xlws.FILTER('Worklog_Tasks&amp;Times'!$H$5:$H$17,'Worklog_Tasks&amp;Times'!$F$5:$F$17=$B6)),0)</f>
        <v>0</v>
      </c>
      <c r="E6" s="10" cm="1">
        <f t="array" ref="E6">IFERROR(SUM(_xlfn._xlws.FILTER('Worklog_Tasks&amp;Times'!$H$5:$H$17,'Worklog_Tasks&amp;Times'!$F$5:$F$17=$B6)),0)</f>
        <v>0</v>
      </c>
      <c r="F6" s="10" cm="1">
        <f t="array" ref="F6">IFERROR(SUM(_xlfn._xlws.FILTER('Worklog_Tasks&amp;Times'!$H$5:$H$17,'Worklog_Tasks&amp;Times'!$F$5:$F$17=$B6)),0)</f>
        <v>0</v>
      </c>
      <c r="G6" s="10" cm="1">
        <f t="array" ref="G6">IFERROR(SUM(_xlfn._xlws.FILTER('Worklog_Tasks&amp;Times'!$H$5:$H$17,'Worklog_Tasks&amp;Times'!$F$5:$F$17=$B6)),0)</f>
        <v>0</v>
      </c>
      <c r="H6" s="10" cm="1">
        <f t="array" ref="H6">IFERROR(SUM(_xlfn._xlws.FILTER('Worklog_Tasks&amp;Times'!$H$5:$H$17,'Worklog_Tasks&amp;Times'!$F$5:$F$17=$B6)),0)</f>
        <v>0</v>
      </c>
      <c r="I6" s="10" cm="1">
        <f t="array" ref="I6">IFERROR(SUM(_xlfn._xlws.FILTER('Worklog_Tasks&amp;Times'!$H$5:$H$17,'Worklog_Tasks&amp;Times'!$F$5:$F$17=$B6)),0)</f>
        <v>0</v>
      </c>
      <c r="J6" s="10" cm="1">
        <f t="array" ref="J6">IFERROR(SUM(_xlfn._xlws.FILTER('Worklog_Tasks&amp;Times'!$H$5:$H$17,'Worklog_Tasks&amp;Times'!$F$5:$F$17=$B6)),0)</f>
        <v>0</v>
      </c>
      <c r="K6" s="7">
        <f t="shared" si="0"/>
        <v>0</v>
      </c>
    </row>
    <row r="7" spans="2:11" ht="13" x14ac:dyDescent="0.3">
      <c r="B7" s="4" t="str">
        <f>'Drop-downs'!C6</f>
        <v>ILO 3.5</v>
      </c>
      <c r="C7" s="10" cm="1">
        <f t="array" ref="C7">IFERROR(SUM(_xlfn._xlws.FILTER('Worklog_Tasks&amp;Times'!$H$5:$H$17,'Worklog_Tasks&amp;Times'!$F$5:$F$17=$B7)),0)</f>
        <v>0</v>
      </c>
      <c r="D7" s="10" cm="1">
        <f t="array" ref="D7">IFERROR(SUM(_xlfn._xlws.FILTER('Worklog_Tasks&amp;Times'!$H$5:$H$17,'Worklog_Tasks&amp;Times'!$F$5:$F$17=$B7)),0)</f>
        <v>0</v>
      </c>
      <c r="E7" s="10" cm="1">
        <f t="array" ref="E7">IFERROR(SUM(_xlfn._xlws.FILTER('Worklog_Tasks&amp;Times'!$H$5:$H$17,'Worklog_Tasks&amp;Times'!$F$5:$F$17=$B7)),0)</f>
        <v>0</v>
      </c>
      <c r="F7" s="10" cm="1">
        <f t="array" ref="F7">IFERROR(SUM(_xlfn._xlws.FILTER('Worklog_Tasks&amp;Times'!$H$5:$H$17,'Worklog_Tasks&amp;Times'!$F$5:$F$17=$B7)),0)</f>
        <v>0</v>
      </c>
      <c r="G7" s="10" cm="1">
        <f t="array" ref="G7">IFERROR(SUM(_xlfn._xlws.FILTER('Worklog_Tasks&amp;Times'!$H$5:$H$17,'Worklog_Tasks&amp;Times'!$F$5:$F$17=$B7)),0)</f>
        <v>0</v>
      </c>
      <c r="H7" s="10" cm="1">
        <f t="array" ref="H7">IFERROR(SUM(_xlfn._xlws.FILTER('Worklog_Tasks&amp;Times'!$H$5:$H$17,'Worklog_Tasks&amp;Times'!$F$5:$F$17=$B7)),0)</f>
        <v>0</v>
      </c>
      <c r="I7" s="10" cm="1">
        <f t="array" ref="I7">IFERROR(SUM(_xlfn._xlws.FILTER('Worklog_Tasks&amp;Times'!$H$5:$H$17,'Worklog_Tasks&amp;Times'!$F$5:$F$17=$B7)),0)</f>
        <v>0</v>
      </c>
      <c r="J7" s="10" cm="1">
        <f t="array" ref="J7">IFERROR(SUM(_xlfn._xlws.FILTER('Worklog_Tasks&amp;Times'!$H$5:$H$17,'Worklog_Tasks&amp;Times'!$F$5:$F$17=$B7)),0)</f>
        <v>0</v>
      </c>
      <c r="K7" s="7">
        <f t="shared" si="0"/>
        <v>0</v>
      </c>
    </row>
    <row r="8" spans="2:11" ht="13" x14ac:dyDescent="0.3">
      <c r="B8" s="4" t="str">
        <f>'Drop-downs'!C7</f>
        <v>ILO 4.4</v>
      </c>
      <c r="C8" s="10" cm="1">
        <f t="array" ref="C8">IFERROR(SUM(_xlfn._xlws.FILTER('Worklog_Tasks&amp;Times'!$H$5:$H$17,'Worklog_Tasks&amp;Times'!$F$5:$F$17=$B8)),0)</f>
        <v>0</v>
      </c>
      <c r="D8" s="10" cm="1">
        <f t="array" ref="D8">IFERROR(SUM(_xlfn._xlws.FILTER('Worklog_Tasks&amp;Times'!$H$5:$H$17,'Worklog_Tasks&amp;Times'!$F$5:$F$17=$B8)),0)</f>
        <v>0</v>
      </c>
      <c r="E8" s="10" cm="1">
        <f t="array" ref="E8">IFERROR(SUM(_xlfn._xlws.FILTER('Worklog_Tasks&amp;Times'!$H$5:$H$17,'Worklog_Tasks&amp;Times'!$F$5:$F$17=$B8)),0)</f>
        <v>0</v>
      </c>
      <c r="F8" s="10" cm="1">
        <f t="array" ref="F8">IFERROR(SUM(_xlfn._xlws.FILTER('Worklog_Tasks&amp;Times'!$H$5:$H$17,'Worklog_Tasks&amp;Times'!$F$5:$F$17=$B8)),0)</f>
        <v>0</v>
      </c>
      <c r="G8" s="10" cm="1">
        <f t="array" ref="G8">IFERROR(SUM(_xlfn._xlws.FILTER('Worklog_Tasks&amp;Times'!$H$5:$H$17,'Worklog_Tasks&amp;Times'!$F$5:$F$17=$B8)),0)</f>
        <v>0</v>
      </c>
      <c r="H8" s="10" cm="1">
        <f t="array" ref="H8">IFERROR(SUM(_xlfn._xlws.FILTER('Worklog_Tasks&amp;Times'!$H$5:$H$17,'Worklog_Tasks&amp;Times'!$F$5:$F$17=$B8)),0)</f>
        <v>0</v>
      </c>
      <c r="I8" s="10" cm="1">
        <f t="array" ref="I8">IFERROR(SUM(_xlfn._xlws.FILTER('Worklog_Tasks&amp;Times'!$H$5:$H$17,'Worklog_Tasks&amp;Times'!$F$5:$F$17=$B8)),0)</f>
        <v>0</v>
      </c>
      <c r="J8" s="10" cm="1">
        <f t="array" ref="J8">IFERROR(SUM(_xlfn._xlws.FILTER('Worklog_Tasks&amp;Times'!$H$5:$H$17,'Worklog_Tasks&amp;Times'!$F$5:$F$17=$B8)),0)</f>
        <v>0</v>
      </c>
      <c r="K8" s="7">
        <f t="shared" ref="K8" si="1">SUM(C8:J8)</f>
        <v>0</v>
      </c>
    </row>
    <row r="9" spans="2:11" ht="13" x14ac:dyDescent="0.3">
      <c r="B9" s="4" t="str">
        <f>'Drop-downs'!C8</f>
        <v>ILO 7.3</v>
      </c>
      <c r="C9" s="10" cm="1">
        <f t="array" ref="C9">IFERROR(SUM(_xlfn._xlws.FILTER('Worklog_Tasks&amp;Times'!$H$5:$H$17,'Worklog_Tasks&amp;Times'!$F$5:$F$17=$B9)),0)</f>
        <v>0</v>
      </c>
      <c r="D9" s="10" cm="1">
        <f t="array" ref="D9">IFERROR(SUM(_xlfn._xlws.FILTER('Worklog_Tasks&amp;Times'!$H$5:$H$17,'Worklog_Tasks&amp;Times'!$F$5:$F$17=$B9)),0)</f>
        <v>0</v>
      </c>
      <c r="E9" s="10" cm="1">
        <f t="array" ref="E9">IFERROR(SUM(_xlfn._xlws.FILTER('Worklog_Tasks&amp;Times'!$H$5:$H$17,'Worklog_Tasks&amp;Times'!$F$5:$F$17=$B9)),0)</f>
        <v>0</v>
      </c>
      <c r="F9" s="10" cm="1">
        <f t="array" ref="F9">IFERROR(SUM(_xlfn._xlws.FILTER('Worklog_Tasks&amp;Times'!$H$5:$H$17,'Worklog_Tasks&amp;Times'!$F$5:$F$17=$B9)),0)</f>
        <v>0</v>
      </c>
      <c r="G9" s="10" cm="1">
        <f t="array" ref="G9">IFERROR(SUM(_xlfn._xlws.FILTER('Worklog_Tasks&amp;Times'!$H$5:$H$17,'Worklog_Tasks&amp;Times'!$F$5:$F$17=$B9)),0)</f>
        <v>0</v>
      </c>
      <c r="H9" s="10" cm="1">
        <f t="array" ref="H9">IFERROR(SUM(_xlfn._xlws.FILTER('Worklog_Tasks&amp;Times'!$H$5:$H$17,'Worklog_Tasks&amp;Times'!$F$5:$F$17=$B9)),0)</f>
        <v>0</v>
      </c>
      <c r="I9" s="10" cm="1">
        <f t="array" ref="I9">IFERROR(SUM(_xlfn._xlws.FILTER('Worklog_Tasks&amp;Times'!$H$5:$H$17,'Worklog_Tasks&amp;Times'!$F$5:$F$17=$B9)),0)</f>
        <v>0</v>
      </c>
      <c r="J9" s="10" cm="1">
        <f t="array" ref="J9">IFERROR(SUM(_xlfn._xlws.FILTER('Worklog_Tasks&amp;Times'!$H$5:$H$17,'Worklog_Tasks&amp;Times'!$F$5:$F$17=$B9)),0)</f>
        <v>0</v>
      </c>
      <c r="K9" s="7">
        <f t="shared" si="0"/>
        <v>0</v>
      </c>
    </row>
    <row r="10" spans="2:11" ht="13" x14ac:dyDescent="0.3">
      <c r="B10" s="4" t="str">
        <f>'Drop-downs'!C9</f>
        <v>ILO 11.2</v>
      </c>
      <c r="C10" s="10" cm="1">
        <f t="array" ref="C10">IFERROR(SUM(_xlfn._xlws.FILTER('Worklog_Tasks&amp;Times'!$H$5:$H$17,'Worklog_Tasks&amp;Times'!$F$5:$F$17=$B10)),0)</f>
        <v>0</v>
      </c>
      <c r="D10" s="10" cm="1">
        <f t="array" ref="D10">IFERROR(SUM(_xlfn._xlws.FILTER('Worklog_Tasks&amp;Times'!$H$5:$H$17,'Worklog_Tasks&amp;Times'!$F$5:$F$17=$B10)),0)</f>
        <v>0</v>
      </c>
      <c r="E10" s="10" cm="1">
        <f t="array" ref="E10">IFERROR(SUM(_xlfn._xlws.FILTER('Worklog_Tasks&amp;Times'!$H$5:$H$17,'Worklog_Tasks&amp;Times'!$F$5:$F$17=$B10)),0)</f>
        <v>0</v>
      </c>
      <c r="F10" s="10" cm="1">
        <f t="array" ref="F10">IFERROR(SUM(_xlfn._xlws.FILTER('Worklog_Tasks&amp;Times'!$H$5:$H$17,'Worklog_Tasks&amp;Times'!$F$5:$F$17=$B10)),0)</f>
        <v>0</v>
      </c>
      <c r="G10" s="10" cm="1">
        <f t="array" ref="G10">IFERROR(SUM(_xlfn._xlws.FILTER('Worklog_Tasks&amp;Times'!$H$5:$H$17,'Worklog_Tasks&amp;Times'!$F$5:$F$17=$B10)),0)</f>
        <v>0</v>
      </c>
      <c r="H10" s="10" cm="1">
        <f t="array" ref="H10">IFERROR(SUM(_xlfn._xlws.FILTER('Worklog_Tasks&amp;Times'!$H$5:$H$17,'Worklog_Tasks&amp;Times'!$F$5:$F$17=$B10)),0)</f>
        <v>0</v>
      </c>
      <c r="I10" s="10" cm="1">
        <f t="array" ref="I10">IFERROR(SUM(_xlfn._xlws.FILTER('Worklog_Tasks&amp;Times'!$H$5:$H$17,'Worklog_Tasks&amp;Times'!$F$5:$F$17=$B10)),0)</f>
        <v>0</v>
      </c>
      <c r="J10" s="10" cm="1">
        <f t="array" ref="J10">IFERROR(SUM(_xlfn._xlws.FILTER('Worklog_Tasks&amp;Times'!$H$5:$H$17,'Worklog_Tasks&amp;Times'!$F$5:$F$17=$B10)),0)</f>
        <v>0</v>
      </c>
      <c r="K10" s="7">
        <f t="shared" ref="K10" si="2">SUM(C10:J10)</f>
        <v>0</v>
      </c>
    </row>
    <row r="11" spans="2:11" ht="13" x14ac:dyDescent="0.3">
      <c r="B11" s="4">
        <f>'Drop-downs'!C10</f>
        <v>0</v>
      </c>
      <c r="C11" s="10"/>
      <c r="D11" s="10"/>
      <c r="E11" s="10"/>
      <c r="F11" s="10"/>
      <c r="G11" s="10"/>
      <c r="H11" s="10"/>
      <c r="I11" s="10"/>
      <c r="J11" s="10"/>
      <c r="K11" s="7">
        <f t="shared" ref="K11" si="3">SUM(C11:J11)</f>
        <v>0</v>
      </c>
    </row>
    <row r="12" spans="2:11" ht="13" x14ac:dyDescent="0.3">
      <c r="B12" s="11" t="s">
        <v>37</v>
      </c>
      <c r="C12" s="12">
        <f t="shared" ref="C12:J12" si="4">SUM(C3:C9)</f>
        <v>0</v>
      </c>
      <c r="D12" s="12">
        <f t="shared" si="4"/>
        <v>0</v>
      </c>
      <c r="E12" s="12">
        <f t="shared" si="4"/>
        <v>0</v>
      </c>
      <c r="F12" s="12">
        <f t="shared" si="4"/>
        <v>0</v>
      </c>
      <c r="G12" s="12">
        <f t="shared" si="4"/>
        <v>0</v>
      </c>
      <c r="H12" s="12">
        <f t="shared" si="4"/>
        <v>0</v>
      </c>
      <c r="I12" s="12">
        <f t="shared" si="4"/>
        <v>0</v>
      </c>
      <c r="J12" s="12">
        <f t="shared" si="4"/>
        <v>0</v>
      </c>
      <c r="K12" s="14"/>
    </row>
    <row r="13" spans="2:11" ht="13" x14ac:dyDescent="0.3">
      <c r="B13" s="16"/>
      <c r="C13" s="17"/>
      <c r="D13" s="17"/>
      <c r="E13" s="17"/>
      <c r="F13" s="17"/>
      <c r="G13" s="17"/>
      <c r="H13" s="17"/>
      <c r="I13" s="17"/>
      <c r="J13" s="17"/>
      <c r="K13" s="17"/>
    </row>
    <row r="14" spans="2:11" ht="15" customHeight="1" x14ac:dyDescent="0.25">
      <c r="B14" s="78" t="s">
        <v>38</v>
      </c>
      <c r="C14" s="79"/>
      <c r="D14" s="79"/>
      <c r="E14" s="79"/>
      <c r="F14" s="79"/>
      <c r="G14" s="79"/>
      <c r="H14" s="79"/>
      <c r="I14" s="79"/>
      <c r="J14" s="79"/>
      <c r="K14" s="79"/>
    </row>
    <row r="18" spans="2:6" ht="15" customHeight="1" x14ac:dyDescent="0.25">
      <c r="B18" s="9"/>
    </row>
    <row r="19" spans="2:6" ht="15" customHeight="1" x14ac:dyDescent="0.25">
      <c r="B19" s="80" t="s">
        <v>39</v>
      </c>
      <c r="C19" s="80"/>
      <c r="D19" s="80"/>
      <c r="E19" s="80"/>
      <c r="F19" s="80"/>
    </row>
    <row r="20" spans="2:6" ht="15" customHeight="1" x14ac:dyDescent="0.25">
      <c r="B20" s="80"/>
      <c r="C20" s="80"/>
      <c r="D20" s="80"/>
      <c r="E20" s="80"/>
      <c r="F20" s="80"/>
    </row>
    <row r="21" spans="2:6" ht="15" customHeight="1" x14ac:dyDescent="0.25">
      <c r="B21" s="80"/>
      <c r="C21" s="80"/>
      <c r="D21" s="80"/>
      <c r="E21" s="80"/>
      <c r="F21" s="80"/>
    </row>
    <row r="22" spans="2:6" ht="15" customHeight="1" x14ac:dyDescent="0.25">
      <c r="B22" s="80"/>
      <c r="C22" s="80"/>
      <c r="D22" s="80"/>
      <c r="E22" s="80"/>
      <c r="F22" s="80"/>
    </row>
    <row r="23" spans="2:6" ht="15" customHeight="1" x14ac:dyDescent="0.25">
      <c r="B23" s="80"/>
      <c r="C23" s="80"/>
      <c r="D23" s="80"/>
      <c r="E23" s="80"/>
      <c r="F23" s="80"/>
    </row>
  </sheetData>
  <mergeCells count="2">
    <mergeCell ref="B14:K14"/>
    <mergeCell ref="B19:F23"/>
  </mergeCells>
  <conditionalFormatting sqref="C12:J12">
    <cfRule type="colorScale" priority="1">
      <colorScale>
        <cfvo type="formula" val="20"/>
        <cfvo type="formula" val="40"/>
        <color rgb="FFE67C73"/>
        <color rgb="FF57BB8A"/>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workbookViewId="0">
      <selection activeCell="C4" sqref="C4"/>
    </sheetView>
  </sheetViews>
  <sheetFormatPr defaultColWidth="14.453125" defaultRowHeight="15" customHeight="1" x14ac:dyDescent="0.25"/>
  <cols>
    <col min="1" max="6" width="14.453125" customWidth="1"/>
  </cols>
  <sheetData>
    <row r="1" spans="1:3" ht="15.75" customHeight="1" x14ac:dyDescent="0.25">
      <c r="A1" s="1" t="s">
        <v>40</v>
      </c>
      <c r="B1" s="1" t="s">
        <v>4</v>
      </c>
      <c r="C1" s="1" t="s">
        <v>41</v>
      </c>
    </row>
    <row r="2" spans="1:3" ht="15.75" customHeight="1" x14ac:dyDescent="0.25">
      <c r="A2" t="s">
        <v>16</v>
      </c>
      <c r="B2" t="s">
        <v>16</v>
      </c>
      <c r="C2" s="9" t="s">
        <v>16</v>
      </c>
    </row>
    <row r="3" spans="1:3" ht="15.75" customHeight="1" x14ac:dyDescent="0.25">
      <c r="A3" t="s">
        <v>42</v>
      </c>
      <c r="B3" t="s">
        <v>43</v>
      </c>
      <c r="C3" s="9" t="s">
        <v>44</v>
      </c>
    </row>
    <row r="4" spans="1:3" ht="15.75" customHeight="1" x14ac:dyDescent="0.25">
      <c r="A4" t="s">
        <v>45</v>
      </c>
      <c r="B4" t="s">
        <v>46</v>
      </c>
      <c r="C4" s="9" t="s">
        <v>47</v>
      </c>
    </row>
    <row r="5" spans="1:3" ht="15.75" customHeight="1" x14ac:dyDescent="0.25">
      <c r="A5" t="s">
        <v>48</v>
      </c>
      <c r="B5" t="s">
        <v>49</v>
      </c>
      <c r="C5" s="9" t="s">
        <v>50</v>
      </c>
    </row>
    <row r="6" spans="1:3" ht="15.75" customHeight="1" x14ac:dyDescent="0.25">
      <c r="A6" t="s">
        <v>51</v>
      </c>
      <c r="B6" t="s">
        <v>52</v>
      </c>
      <c r="C6" s="9" t="s">
        <v>53</v>
      </c>
    </row>
    <row r="7" spans="1:3" ht="15.75" customHeight="1" x14ac:dyDescent="0.25">
      <c r="A7" t="s">
        <v>54</v>
      </c>
      <c r="B7" t="s">
        <v>55</v>
      </c>
      <c r="C7" s="9" t="s">
        <v>56</v>
      </c>
    </row>
    <row r="8" spans="1:3" ht="15.75" customHeight="1" x14ac:dyDescent="0.25">
      <c r="A8" t="s">
        <v>57</v>
      </c>
      <c r="B8" t="s">
        <v>58</v>
      </c>
      <c r="C8" s="9" t="s">
        <v>59</v>
      </c>
    </row>
    <row r="9" spans="1:3" ht="15.75" customHeight="1" x14ac:dyDescent="0.25">
      <c r="A9" t="s">
        <v>60</v>
      </c>
      <c r="B9" s="9" t="s">
        <v>61</v>
      </c>
      <c r="C9" s="9" t="s">
        <v>62</v>
      </c>
    </row>
    <row r="10" spans="1:3" ht="15.75" customHeight="1" x14ac:dyDescent="0.25">
      <c r="B10" s="9" t="s">
        <v>63</v>
      </c>
      <c r="C10" s="9"/>
    </row>
    <row r="11" spans="1:3" ht="15.75" customHeight="1" x14ac:dyDescent="0.25">
      <c r="B11" s="9" t="s">
        <v>64</v>
      </c>
    </row>
    <row r="12" spans="1:3" ht="15.75" customHeight="1" x14ac:dyDescent="0.25">
      <c r="B12" s="9" t="s">
        <v>65</v>
      </c>
    </row>
    <row r="13" spans="1:3" ht="15.75" customHeight="1" x14ac:dyDescent="0.25">
      <c r="B13" s="9" t="s">
        <v>66</v>
      </c>
    </row>
    <row r="14" spans="1:3" ht="15.75" customHeight="1" x14ac:dyDescent="0.25">
      <c r="B14" s="9" t="s">
        <v>45</v>
      </c>
    </row>
    <row r="15" spans="1:3" ht="15.75" customHeight="1" x14ac:dyDescent="0.25">
      <c r="B15" s="9" t="s">
        <v>67</v>
      </c>
    </row>
    <row r="16" spans="1:3" ht="15.75" customHeight="1" x14ac:dyDescent="0.25">
      <c r="B16" s="9" t="s">
        <v>68</v>
      </c>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ADAD4AA324BF48804EF76FD903323C" ma:contentTypeVersion="15" ma:contentTypeDescription="Create a new document." ma:contentTypeScope="" ma:versionID="4ea0feda506421460444ca95554a0aab">
  <xsd:schema xmlns:xsd="http://www.w3.org/2001/XMLSchema" xmlns:xs="http://www.w3.org/2001/XMLSchema" xmlns:p="http://schemas.microsoft.com/office/2006/metadata/properties" xmlns:ns2="5ff92c65-ed86-4457-baee-ccd535c9ea21" xmlns:ns3="6c8d291c-a5bf-4049-930d-38db8e991d8e" targetNamespace="http://schemas.microsoft.com/office/2006/metadata/properties" ma:root="true" ma:fieldsID="0fc8cf7d0f5ee312899395875a30595e" ns2:_="" ns3:_="">
    <xsd:import namespace="5ff92c65-ed86-4457-baee-ccd535c9ea21"/>
    <xsd:import namespace="6c8d291c-a5bf-4049-930d-38db8e991d8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92c65-ed86-4457-baee-ccd535c9ea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8d291c-a5bf-4049-930d-38db8e991d8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ad53588-c864-4711-ad43-fad96b40598a}" ma:internalName="TaxCatchAll" ma:showField="CatchAllData" ma:web="6c8d291c-a5bf-4049-930d-38db8e991d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6c8d291c-a5bf-4049-930d-38db8e991d8e" xsi:nil="true"/>
    <lcf76f155ced4ddcb4097134ff3c332f xmlns="5ff92c65-ed86-4457-baee-ccd535c9ea2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BEA8C5-7A8E-4EDD-924F-588BDEE142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92c65-ed86-4457-baee-ccd535c9ea21"/>
    <ds:schemaRef ds:uri="6c8d291c-a5bf-4049-930d-38db8e991d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0CF63A-30C9-4A8C-8DF9-EA62B8EC1A62}">
  <ds:schemaRefs>
    <ds:schemaRef ds:uri="http://schemas.microsoft.com/office/2006/metadata/properties"/>
    <ds:schemaRef ds:uri="http://schemas.microsoft.com/office/infopath/2007/PartnerControls"/>
    <ds:schemaRef ds:uri="6c8d291c-a5bf-4049-930d-38db8e991d8e"/>
    <ds:schemaRef ds:uri="5ff92c65-ed86-4457-baee-ccd535c9ea21"/>
  </ds:schemaRefs>
</ds:datastoreItem>
</file>

<file path=customXml/itemProps3.xml><?xml version="1.0" encoding="utf-8"?>
<ds:datastoreItem xmlns:ds="http://schemas.openxmlformats.org/officeDocument/2006/customXml" ds:itemID="{67A64A65-7DA4-4AE1-9847-B817073E47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Worklog_Tasks&amp;Times</vt:lpstr>
      <vt:lpstr>Overview</vt:lpstr>
      <vt:lpstr>Drop-downs</vt:lpstr>
      <vt:lpstr>'Worklog_Tasks&amp;Times'!Print_Area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Bram Heijligers</dc:creator>
  <cp:keywords/>
  <dc:description/>
  <cp:lastModifiedBy>Burchard, Maks (240894)</cp:lastModifiedBy>
  <cp:revision/>
  <dcterms:created xsi:type="dcterms:W3CDTF">2020-05-11T09:26:10Z</dcterms:created>
  <dcterms:modified xsi:type="dcterms:W3CDTF">2025-01-23T21:29:04Z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0x0101000BADAD4AA324BF48804EF76FD903323C</vt:lpwstr>
  </property>
  <property fmtid="{D5CDD505-2E9C-101B-9397-08002B2CF9AE}" pid="3" name="MediaServiceImageTags">
    <vt:lpwstr/>
  </property>
</Properties>
</file>