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8633915D-59D9-4213-B6FE-BA0807518E77}"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'Worklog_Tasks&amp;Times'!$A$1:$K$156</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8" i="1" l="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71" i="1"/>
  <c r="G171" i="1"/>
  <c r="I170" i="1"/>
  <c r="I169" i="1"/>
  <c r="I168" i="1"/>
  <c r="I167" i="1"/>
  <c r="I166" i="1"/>
  <c r="I165" i="1"/>
  <c r="I164" i="1"/>
  <c r="I163" i="1"/>
  <c r="I162" i="1"/>
  <c r="I161" i="1"/>
  <c r="H157" i="1"/>
  <c r="G157" i="1"/>
  <c r="B9" i="2"/>
  <c r="B8" i="2"/>
  <c r="B11" i="2"/>
  <c r="B10" i="2"/>
  <c r="K11" i="2"/>
  <c r="I171" i="1" l="1"/>
  <c r="K8" i="2"/>
  <c r="K10" i="2"/>
  <c r="E12" i="2"/>
  <c r="D12" i="2"/>
  <c r="I157" i="1"/>
  <c r="J12" i="2"/>
  <c r="I12" i="2"/>
  <c r="H12" i="2"/>
  <c r="G12" i="2"/>
  <c r="F12" i="2"/>
  <c r="K9" i="2"/>
  <c r="K7" i="2"/>
  <c r="B7" i="2"/>
  <c r="K6" i="2"/>
  <c r="B6" i="2"/>
  <c r="K5" i="2"/>
  <c r="B5" i="2"/>
  <c r="C12" i="2"/>
  <c r="B4" i="2"/>
  <c r="K3" i="2"/>
  <c r="B3" i="2"/>
  <c r="I156" i="1"/>
  <c r="I155" i="1"/>
  <c r="I154" i="1"/>
  <c r="I153" i="1"/>
  <c r="I152" i="1"/>
  <c r="I151" i="1"/>
  <c r="I150" i="1"/>
  <c r="I149" i="1"/>
  <c r="I148" i="1"/>
  <c r="I147" i="1"/>
  <c r="H143" i="1"/>
  <c r="G143" i="1"/>
  <c r="I142" i="1"/>
  <c r="I141" i="1"/>
  <c r="I140" i="1"/>
  <c r="I139" i="1"/>
  <c r="I138" i="1"/>
  <c r="I137" i="1"/>
  <c r="I136" i="1"/>
  <c r="I135" i="1"/>
  <c r="I134" i="1"/>
  <c r="I133" i="1"/>
  <c r="H129" i="1"/>
  <c r="G129" i="1"/>
  <c r="I128" i="1"/>
  <c r="I127" i="1"/>
  <c r="I126" i="1"/>
  <c r="I125" i="1"/>
  <c r="I124" i="1"/>
  <c r="I123" i="1"/>
  <c r="I122" i="1"/>
  <c r="I121" i="1"/>
  <c r="I120" i="1"/>
  <c r="I119" i="1"/>
  <c r="H115" i="1"/>
  <c r="G115" i="1"/>
  <c r="I114" i="1"/>
  <c r="I113" i="1"/>
  <c r="I112" i="1"/>
  <c r="I111" i="1"/>
  <c r="I110" i="1"/>
  <c r="I109" i="1"/>
  <c r="I108" i="1"/>
  <c r="I107" i="1"/>
  <c r="I106" i="1"/>
  <c r="I105" i="1"/>
  <c r="H101" i="1"/>
  <c r="G101" i="1"/>
  <c r="I100"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29" i="1" l="1"/>
  <c r="I46" i="1"/>
  <c r="K4" i="2"/>
  <c r="I82" i="1"/>
  <c r="I101" i="1"/>
  <c r="I115" i="1"/>
  <c r="I14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<sst xmlns="http://schemas.openxmlformats.org/spreadsheetml/2006/main" count="610" uniqueCount="175">
  <si>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</si>
  <si>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</si>
  <si>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</si>
  <si>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</si>
  <si>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</si>
  <si>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</si>
  <si>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</si>
  <si>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</si>
  <si>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</si>
  <si>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</si>
  <si>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</si>
  <si>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</si>
  <si>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</si>
  <si>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</si>
  <si>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</si>
  <si>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</si>
  <si>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</si>
  <si>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</si>
  <si>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</si>
  <si>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</si>
  <si>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</si>
  <si>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</si>
  <si>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</si>
  <si>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</si>
  <si>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</si>
  <si>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</si>
  <si>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</si>
  <si>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</si>
  <si>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</si>
  <si>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</si>
  <si>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</si>
  <si>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</si>
  <si>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</si>
  <si>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</si>
  <si>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</si>
  <si>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</si>
  <si>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</si>
  <si>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</si>
  <si>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</si>
  <si>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</si>
  <si>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</si>
  <si>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</si>
  <si>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</si>
  <si>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</si>
  <si>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</si>
  <si>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</si>
  <si>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</si>
  <si>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</si>
  <si>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</si>
  <si>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</si>
  <si>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</si>
  <si>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</si>
  <si>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</si>
  <si>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</si>
  <si>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</si>
  <si>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</si>
  <si>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</si>
  <si>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</si>
  <si>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</si>
  <si>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</si>
  <si>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</si>
  <si>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</si>
  <si>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</si>
  <si>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</si>
  <si>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</si>
  <si>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</si>
  <si>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</si>
  <si>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</si>
  <si>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</si>
  <si>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</si>
  <si>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</si>
  <si>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</si>
  <si>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</si>
  <si>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</si>
  <si>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</si>
  <si>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</si>
  <si>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</si>
  <si>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</si>
  <si>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</si>
  <si>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</si>
  <si>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</si>
  <si>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</si>
  <si>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</si>
  <si>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</si>
  <si>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</si>
  <si>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</si>
  <si>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</si>
  <si>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</si>
  <si>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</si>
  <si>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</si>
  <si>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</si>
  <si>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</si>
  <si>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</si>
  <si>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</si>
  <si>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</si>
  <si>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</si>
  <si>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</si>
  <si>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</si>
  <si>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</si>
  <si>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</si>
  <si>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</si>
  <si>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</si>
  <si>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</si>
  <si>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</si>
  <si>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</si>
  <si>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</si>
  <si>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</si>
  <si>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</si>
  <si>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</si>
  <si>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</si>
  <si>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</si>
  <si>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</si>
  <si>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</si>
  <si>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</si>
  <si>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</si>
  <si>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</si>
  <si>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</si>
  <si>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</si>
  <si>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</si>
  <si>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</si>
  <si>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</si>
  <si>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</si>
  <si>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</si>
  <si>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</si>
  <si>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</si>
  <si>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</si>
  <si>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</si>
  <si>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</si>
  <si>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</si>
  <si>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</si>
  <si>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</si>
  <si>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</si>
  <si>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</si>
  <si>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</si>
  <si>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</si>
  <si>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</si>
  <si>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</si>
  <si>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</si>
  <si>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</si>
  <si>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</si>
  <si>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</si>
  <si>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</si>
  <si>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</si>
  <si>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</si>
  <si>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</si>
  <si>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</si>
  <si>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</si>
  <si>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</si>
  <si>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</si>
  <si>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</si>
  <si>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</si>
  <si>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</si>
  <si>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</si>
  <si>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</si>
  <si>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</si>
  <si>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</si>
  <si>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</si>
  <si>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</si>
  <si>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</si>
  <si>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</si>
  <si>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</si>
  <si>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</si>
  <si>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</si>
  <si>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</si>
  <si>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</si>
  <si>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</si>
  <si>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</si>
  <si>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</si>
  <si>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</si>
  <si>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</si>
  <si>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</si>
  <si>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</si>
  <si>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</si>
  <si>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</si>
  <si>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5,5 at 17:00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</si>
</sst>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71"/>
  <sheetViews>
    <sheetView tabSelected="1" topLeftCell="B1" workbookViewId="0">
      <pane ySplit="1" topLeftCell="A83" activePane="bottomLeft" state="frozen"/>
      <selection pane="bottomLeft" activeCell="K99" sqref="K99"/>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3.2"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3.2"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3.2" x14ac:dyDescent="0.25">
      <c r="A86" s="37">
        <v>45628</v>
      </c>
      <c r="B86" s="38" t="s">
        <v>55</v>
      </c>
      <c r="C86" s="39" t="s">
        <v>17</v>
      </c>
      <c r="D86" s="38" t="s">
        <v>80</v>
      </c>
      <c r="E86" s="40" t="s">
        <v>62</v>
      </c>
      <c r="F86" s="40" t="s">
        <v>87</v>
      </c>
      <c r="G86" s="41">
        <v>0.5</v>
      </c>
      <c r="H86" s="41">
        <v>0.5</v>
      </c>
      <c r="I86" s="41">
        <f t="shared" ref="I86:I101"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3</v>
      </c>
      <c r="I91" s="41">
        <f t="shared" si="2"/>
        <v>-1</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v>45629</v>
      </c>
      <c r="B95" s="38" t="s">
        <v>55</v>
      </c>
      <c r="C95" s="39" t="s">
        <v>17</v>
      </c>
      <c r="D95" s="38" t="s">
        <v>80</v>
      </c>
      <c r="E95" s="40" t="s">
        <v>62</v>
      </c>
      <c r="F95" s="40" t="s">
        <v>87</v>
      </c>
      <c r="G95" s="41">
        <v>0.5</v>
      </c>
      <c r="H95" s="41">
        <v>0.5</v>
      </c>
      <c r="I95" s="41">
        <f t="shared" si="2"/>
        <v>0</v>
      </c>
      <c r="J95" s="45"/>
      <c r="K95" s="43"/>
    </row>
    <row r="96" spans="1:11" ht="13.2" x14ac:dyDescent="0.25">
      <c r="A96" s="37">
        <v>45629</v>
      </c>
      <c r="B96" s="38" t="s">
        <v>55</v>
      </c>
      <c r="C96" s="39" t="s">
        <v>17</v>
      </c>
      <c r="D96" s="38" t="s">
        <v>169</v>
      </c>
      <c r="E96" s="40" t="s">
        <v>47</v>
      </c>
      <c r="F96" s="40" t="s">
        <v>87</v>
      </c>
      <c r="G96" s="41">
        <v>0.25</v>
      </c>
      <c r="H96" s="41">
        <v>0.25</v>
      </c>
      <c r="I96" s="41">
        <f t="shared" si="2"/>
        <v>0</v>
      </c>
      <c r="J96" s="45"/>
      <c r="K96" s="43"/>
    </row>
    <row r="97" spans="1:11" ht="13.2" x14ac:dyDescent="0.25">
      <c r="A97" s="37">
        <v>45629</v>
      </c>
      <c r="B97" s="38" t="s">
        <v>52</v>
      </c>
      <c r="C97" s="39" t="s">
        <v>17</v>
      </c>
      <c r="D97" s="38" t="s">
        <v>170</v>
      </c>
      <c r="E97" s="40" t="s">
        <v>50</v>
      </c>
      <c r="F97" s="40" t="s">
        <v>108</v>
      </c>
      <c r="G97" s="41">
        <v>4</v>
      </c>
      <c r="H97" s="41"/>
      <c r="I97" s="41">
        <f t="shared" si="2"/>
        <v>-4</v>
      </c>
      <c r="J97" s="45"/>
      <c r="K97" s="43" t="s">
        <v>174</v>
      </c>
    </row>
    <row r="98" spans="1:11" ht="13.2" x14ac:dyDescent="0.25">
      <c r="A98" s="37">
        <v>45629</v>
      </c>
      <c r="B98" s="38" t="s">
        <v>55</v>
      </c>
      <c r="C98" s="39" t="s">
        <v>17</v>
      </c>
      <c r="D98" s="38" t="s">
        <v>172</v>
      </c>
      <c r="E98" s="40" t="s">
        <v>66</v>
      </c>
      <c r="F98" s="40" t="s">
        <v>173</v>
      </c>
      <c r="G98" s="41">
        <v>1</v>
      </c>
      <c r="H98" s="41">
        <v>1</v>
      </c>
      <c r="I98" s="41">
        <f t="shared" si="2"/>
        <v>0</v>
      </c>
      <c r="J98" s="45"/>
      <c r="K98" s="43"/>
    </row>
    <row r="99" spans="1:11" ht="13.2" x14ac:dyDescent="0.25">
      <c r="A99" s="37">
        <v>45629</v>
      </c>
      <c r="B99" s="38" t="s">
        <v>43</v>
      </c>
      <c r="C99" s="39" t="s">
        <v>17</v>
      </c>
      <c r="D99" s="38" t="s">
        <v>171</v>
      </c>
      <c r="E99" s="40" t="s">
        <v>50</v>
      </c>
      <c r="F99" s="40" t="s">
        <v>108</v>
      </c>
      <c r="G99" s="41">
        <v>2.5</v>
      </c>
      <c r="H99" s="41"/>
      <c r="I99" s="41">
        <f t="shared" si="2"/>
        <v>-2.5</v>
      </c>
      <c r="J99" s="45"/>
      <c r="K99" s="43"/>
    </row>
    <row r="100" spans="1:11" ht="13.2" x14ac:dyDescent="0.25">
      <c r="A100" s="37"/>
      <c r="B100" s="38"/>
      <c r="C100" s="39" t="s">
        <v>17</v>
      </c>
      <c r="D100" s="38"/>
      <c r="E100" s="40"/>
      <c r="F100" s="40"/>
      <c r="G100" s="41"/>
      <c r="H100" s="41"/>
      <c r="I100" s="41">
        <f t="shared" si="2"/>
        <v>0</v>
      </c>
      <c r="J100" s="45"/>
      <c r="K100" s="43"/>
    </row>
    <row r="101" spans="1:11" ht="13.2" x14ac:dyDescent="0.25">
      <c r="A101" s="13"/>
      <c r="B101" s="15"/>
      <c r="C101" s="15"/>
      <c r="D101" s="15"/>
      <c r="E101" s="15" t="s">
        <v>18</v>
      </c>
      <c r="F101" s="15"/>
      <c r="G101" s="18">
        <f t="shared" ref="G101:H101" si="3">SUM(G86:G100)</f>
        <v>17.5</v>
      </c>
      <c r="H101" s="18">
        <f t="shared" si="3"/>
        <v>9.75</v>
      </c>
      <c r="I101" s="18">
        <f t="shared" si="2"/>
        <v>-7.75</v>
      </c>
      <c r="J101" s="19"/>
      <c r="K101" s="46"/>
    </row>
    <row r="102" spans="1:11" ht="18.75" customHeight="1" x14ac:dyDescent="0.25">
      <c r="A102" s="74" t="s">
        <v>22</v>
      </c>
      <c r="B102" s="55"/>
      <c r="C102" s="55"/>
      <c r="D102" s="55"/>
      <c r="E102" s="55"/>
      <c r="F102" s="55"/>
      <c r="G102" s="55"/>
      <c r="H102" s="55"/>
      <c r="I102" s="55"/>
      <c r="J102" s="55"/>
      <c r="K102" s="56"/>
    </row>
    <row r="103" spans="1:11" ht="13.2" x14ac:dyDescent="0.25">
      <c r="A103" s="23" t="s">
        <v>12</v>
      </c>
      <c r="B103" s="58" t="s">
        <v>13</v>
      </c>
      <c r="C103" s="55"/>
      <c r="D103" s="55"/>
      <c r="E103" s="55"/>
      <c r="F103" s="55"/>
      <c r="G103" s="55"/>
      <c r="H103" s="55"/>
      <c r="I103" s="55"/>
      <c r="J103" s="55"/>
      <c r="K103" s="56"/>
    </row>
    <row r="104" spans="1:11" ht="27.75" customHeight="1" x14ac:dyDescent="0.25">
      <c r="A104" s="24" t="s">
        <v>14</v>
      </c>
      <c r="B104" s="58" t="s">
        <v>15</v>
      </c>
      <c r="C104" s="55"/>
      <c r="D104" s="55"/>
      <c r="E104" s="55"/>
      <c r="F104" s="55"/>
      <c r="G104" s="55"/>
      <c r="H104" s="55"/>
      <c r="I104" s="55"/>
      <c r="J104" s="55"/>
      <c r="K104" s="56"/>
    </row>
    <row r="105" spans="1:11" ht="13.2" x14ac:dyDescent="0.25">
      <c r="A105" s="37"/>
      <c r="B105" s="38"/>
      <c r="C105" s="39" t="s">
        <v>17</v>
      </c>
      <c r="D105" s="38"/>
      <c r="E105" s="40"/>
      <c r="F105" s="40"/>
      <c r="G105" s="41"/>
      <c r="H105" s="41"/>
      <c r="I105" s="41">
        <f t="shared" ref="I105:I115" si="4">H105-G105</f>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37"/>
      <c r="B110" s="38"/>
      <c r="C110" s="39" t="s">
        <v>17</v>
      </c>
      <c r="D110" s="38"/>
      <c r="E110" s="40"/>
      <c r="F110" s="40"/>
      <c r="G110" s="41"/>
      <c r="H110" s="41"/>
      <c r="I110" s="41">
        <f t="shared" si="4"/>
        <v>0</v>
      </c>
      <c r="J110" s="45"/>
      <c r="K110" s="43"/>
    </row>
    <row r="111" spans="1:11" ht="13.2" x14ac:dyDescent="0.25">
      <c r="A111" s="37"/>
      <c r="B111" s="38"/>
      <c r="C111" s="39" t="s">
        <v>17</v>
      </c>
      <c r="D111" s="38"/>
      <c r="E111" s="40"/>
      <c r="F111" s="40"/>
      <c r="G111" s="41"/>
      <c r="H111" s="41"/>
      <c r="I111" s="41">
        <f t="shared" si="4"/>
        <v>0</v>
      </c>
      <c r="J111" s="45"/>
      <c r="K111" s="43"/>
    </row>
    <row r="112" spans="1:11" ht="13.2" x14ac:dyDescent="0.25">
      <c r="A112" s="37"/>
      <c r="B112" s="38"/>
      <c r="C112" s="39" t="s">
        <v>17</v>
      </c>
      <c r="D112" s="38"/>
      <c r="E112" s="40"/>
      <c r="F112" s="40"/>
      <c r="G112" s="41"/>
      <c r="H112" s="41"/>
      <c r="I112" s="41">
        <f t="shared" si="4"/>
        <v>0</v>
      </c>
      <c r="J112" s="45"/>
      <c r="K112" s="43"/>
    </row>
    <row r="113" spans="1:11" ht="13.2" x14ac:dyDescent="0.25">
      <c r="A113" s="37"/>
      <c r="B113" s="38"/>
      <c r="C113" s="39" t="s">
        <v>17</v>
      </c>
      <c r="D113" s="38"/>
      <c r="E113" s="40"/>
      <c r="F113" s="40"/>
      <c r="G113" s="41"/>
      <c r="H113" s="41"/>
      <c r="I113" s="41">
        <f t="shared" si="4"/>
        <v>0</v>
      </c>
      <c r="J113" s="45"/>
      <c r="K113" s="43"/>
    </row>
    <row r="114" spans="1:11" ht="13.2" x14ac:dyDescent="0.25">
      <c r="A114" s="37"/>
      <c r="B114" s="38"/>
      <c r="C114" s="39" t="s">
        <v>17</v>
      </c>
      <c r="D114" s="38"/>
      <c r="E114" s="40"/>
      <c r="F114" s="40"/>
      <c r="G114" s="41"/>
      <c r="H114" s="41"/>
      <c r="I114" s="41">
        <f t="shared" si="4"/>
        <v>0</v>
      </c>
      <c r="J114" s="45"/>
      <c r="K114" s="43"/>
    </row>
    <row r="115" spans="1:11" ht="13.2" x14ac:dyDescent="0.25">
      <c r="A115" s="13"/>
      <c r="B115" s="15"/>
      <c r="C115" s="15"/>
      <c r="D115" s="15"/>
      <c r="E115" s="15" t="s">
        <v>18</v>
      </c>
      <c r="F115" s="15"/>
      <c r="G115" s="18">
        <f t="shared" ref="G115:H115" si="5">SUM(G105:G114)</f>
        <v>0</v>
      </c>
      <c r="H115" s="18">
        <f t="shared" si="5"/>
        <v>0</v>
      </c>
      <c r="I115" s="18">
        <f t="shared" si="4"/>
        <v>0</v>
      </c>
      <c r="J115" s="19"/>
      <c r="K115" s="46"/>
    </row>
    <row r="116" spans="1:11" ht="18.75" customHeight="1" x14ac:dyDescent="0.25">
      <c r="A116" s="59" t="s">
        <v>23</v>
      </c>
      <c r="B116" s="55"/>
      <c r="C116" s="55"/>
      <c r="D116" s="55"/>
      <c r="E116" s="55"/>
      <c r="F116" s="55"/>
      <c r="G116" s="55"/>
      <c r="H116" s="55"/>
      <c r="I116" s="55"/>
      <c r="J116" s="55"/>
      <c r="K116" s="56"/>
    </row>
    <row r="117" spans="1:11" ht="13.2" x14ac:dyDescent="0.25">
      <c r="A117" s="25" t="s">
        <v>12</v>
      </c>
      <c r="B117" s="60" t="s">
        <v>13</v>
      </c>
      <c r="C117" s="55"/>
      <c r="D117" s="55"/>
      <c r="E117" s="55"/>
      <c r="F117" s="55"/>
      <c r="G117" s="55"/>
      <c r="H117" s="55"/>
      <c r="I117" s="55"/>
      <c r="J117" s="55"/>
      <c r="K117" s="56"/>
    </row>
    <row r="118" spans="1:11" ht="27.75" customHeight="1" x14ac:dyDescent="0.25">
      <c r="A118" s="26" t="s">
        <v>14</v>
      </c>
      <c r="B118" s="60" t="s">
        <v>15</v>
      </c>
      <c r="C118" s="55"/>
      <c r="D118" s="55"/>
      <c r="E118" s="55"/>
      <c r="F118" s="55"/>
      <c r="G118" s="55"/>
      <c r="H118" s="55"/>
      <c r="I118" s="55"/>
      <c r="J118" s="55"/>
      <c r="K118" s="56"/>
    </row>
    <row r="119" spans="1:11" ht="13.2" x14ac:dyDescent="0.25">
      <c r="A119" s="37"/>
      <c r="B119" s="38"/>
      <c r="C119" s="39" t="s">
        <v>17</v>
      </c>
      <c r="D119" s="38"/>
      <c r="E119" s="40"/>
      <c r="F119" s="40"/>
      <c r="G119" s="41"/>
      <c r="H119" s="41"/>
      <c r="I119" s="41">
        <f t="shared" ref="I119:I129" si="6">H119-G119</f>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37"/>
      <c r="B124" s="38"/>
      <c r="C124" s="39" t="s">
        <v>17</v>
      </c>
      <c r="D124" s="38"/>
      <c r="E124" s="40"/>
      <c r="F124" s="40"/>
      <c r="G124" s="41"/>
      <c r="H124" s="41"/>
      <c r="I124" s="41">
        <f t="shared" si="6"/>
        <v>0</v>
      </c>
      <c r="J124" s="45"/>
      <c r="K124" s="43"/>
    </row>
    <row r="125" spans="1:11" ht="13.2" x14ac:dyDescent="0.25">
      <c r="A125" s="37"/>
      <c r="B125" s="38"/>
      <c r="C125" s="39" t="s">
        <v>17</v>
      </c>
      <c r="D125" s="38"/>
      <c r="E125" s="40"/>
      <c r="F125" s="40"/>
      <c r="G125" s="41"/>
      <c r="H125" s="41"/>
      <c r="I125" s="41">
        <f t="shared" si="6"/>
        <v>0</v>
      </c>
      <c r="J125" s="45"/>
      <c r="K125" s="43"/>
    </row>
    <row r="126" spans="1:11" ht="13.2" x14ac:dyDescent="0.25">
      <c r="A126" s="37"/>
      <c r="B126" s="38"/>
      <c r="C126" s="39" t="s">
        <v>17</v>
      </c>
      <c r="D126" s="38"/>
      <c r="E126" s="40"/>
      <c r="F126" s="40"/>
      <c r="G126" s="41"/>
      <c r="H126" s="41"/>
      <c r="I126" s="41">
        <f t="shared" si="6"/>
        <v>0</v>
      </c>
      <c r="J126" s="45"/>
      <c r="K126" s="43"/>
    </row>
    <row r="127" spans="1:11" ht="13.2" x14ac:dyDescent="0.25">
      <c r="A127" s="37"/>
      <c r="B127" s="38"/>
      <c r="C127" s="39" t="s">
        <v>17</v>
      </c>
      <c r="D127" s="38"/>
      <c r="E127" s="40"/>
      <c r="F127" s="40"/>
      <c r="G127" s="41"/>
      <c r="H127" s="41"/>
      <c r="I127" s="41">
        <f t="shared" si="6"/>
        <v>0</v>
      </c>
      <c r="J127" s="45"/>
      <c r="K127" s="43"/>
    </row>
    <row r="128" spans="1:11" ht="13.2" x14ac:dyDescent="0.25">
      <c r="A128" s="37"/>
      <c r="B128" s="38"/>
      <c r="C128" s="39" t="s">
        <v>17</v>
      </c>
      <c r="D128" s="38"/>
      <c r="E128" s="40"/>
      <c r="F128" s="40"/>
      <c r="G128" s="41"/>
      <c r="H128" s="41"/>
      <c r="I128" s="41">
        <f t="shared" si="6"/>
        <v>0</v>
      </c>
      <c r="J128" s="45"/>
      <c r="K128" s="43"/>
    </row>
    <row r="129" spans="1:11" ht="13.2" x14ac:dyDescent="0.25">
      <c r="A129" s="13"/>
      <c r="B129" s="15"/>
      <c r="C129" s="15"/>
      <c r="D129" s="15"/>
      <c r="E129" s="15" t="s">
        <v>18</v>
      </c>
      <c r="F129" s="15"/>
      <c r="G129" s="18">
        <f t="shared" ref="G129:H129" si="7">SUM(G119:G128)</f>
        <v>0</v>
      </c>
      <c r="H129" s="18">
        <f t="shared" si="7"/>
        <v>0</v>
      </c>
      <c r="I129" s="18">
        <f t="shared" si="6"/>
        <v>0</v>
      </c>
      <c r="J129" s="19"/>
      <c r="K129" s="46"/>
    </row>
    <row r="130" spans="1:11" ht="18.75" customHeight="1" x14ac:dyDescent="0.25">
      <c r="A130" s="61" t="s">
        <v>24</v>
      </c>
      <c r="B130" s="55"/>
      <c r="C130" s="55"/>
      <c r="D130" s="55"/>
      <c r="E130" s="55"/>
      <c r="F130" s="55"/>
      <c r="G130" s="55"/>
      <c r="H130" s="55"/>
      <c r="I130" s="55"/>
      <c r="J130" s="55"/>
      <c r="K130" s="56"/>
    </row>
    <row r="131" spans="1:11" ht="13.2" x14ac:dyDescent="0.25">
      <c r="A131" s="27" t="s">
        <v>12</v>
      </c>
      <c r="B131" s="54" t="s">
        <v>13</v>
      </c>
      <c r="C131" s="55"/>
      <c r="D131" s="55"/>
      <c r="E131" s="55"/>
      <c r="F131" s="55"/>
      <c r="G131" s="55"/>
      <c r="H131" s="55"/>
      <c r="I131" s="55"/>
      <c r="J131" s="55"/>
      <c r="K131" s="56"/>
    </row>
    <row r="132" spans="1:11" ht="27.75" customHeight="1" x14ac:dyDescent="0.25">
      <c r="A132" s="28" t="s">
        <v>14</v>
      </c>
      <c r="B132" s="54" t="s">
        <v>15</v>
      </c>
      <c r="C132" s="55"/>
      <c r="D132" s="55"/>
      <c r="E132" s="55"/>
      <c r="F132" s="55"/>
      <c r="G132" s="55"/>
      <c r="H132" s="55"/>
      <c r="I132" s="55"/>
      <c r="J132" s="55"/>
      <c r="K132" s="56"/>
    </row>
    <row r="133" spans="1:11" ht="13.2" x14ac:dyDescent="0.25">
      <c r="A133" s="37"/>
      <c r="B133" s="38"/>
      <c r="C133" s="39" t="s">
        <v>17</v>
      </c>
      <c r="D133" s="38"/>
      <c r="E133" s="40"/>
      <c r="F133" s="40"/>
      <c r="G133" s="41"/>
      <c r="H133" s="41"/>
      <c r="I133" s="41">
        <f t="shared" ref="I133:I143" si="8">H133-G133</f>
        <v>0</v>
      </c>
      <c r="J133" s="45"/>
      <c r="K133" s="43"/>
    </row>
    <row r="134" spans="1:11" ht="13.2" x14ac:dyDescent="0.25">
      <c r="A134" s="37"/>
      <c r="B134" s="38"/>
      <c r="C134" s="39" t="s">
        <v>17</v>
      </c>
      <c r="D134" s="38"/>
      <c r="E134" s="40"/>
      <c r="F134" s="40"/>
      <c r="G134" s="41"/>
      <c r="H134" s="41"/>
      <c r="I134" s="41">
        <f t="shared" si="8"/>
        <v>0</v>
      </c>
      <c r="J134" s="45"/>
      <c r="K134" s="43"/>
    </row>
    <row r="135" spans="1:11" ht="13.2" x14ac:dyDescent="0.25">
      <c r="A135" s="37"/>
      <c r="B135" s="38"/>
      <c r="C135" s="39" t="s">
        <v>17</v>
      </c>
      <c r="D135" s="38"/>
      <c r="E135" s="40"/>
      <c r="F135" s="40"/>
      <c r="G135" s="41"/>
      <c r="H135" s="41"/>
      <c r="I135" s="41">
        <f t="shared" si="8"/>
        <v>0</v>
      </c>
      <c r="J135" s="45"/>
      <c r="K135" s="43" t="s">
        <v>25</v>
      </c>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37"/>
      <c r="B138" s="38"/>
      <c r="C138" s="39" t="s">
        <v>17</v>
      </c>
      <c r="D138" s="38"/>
      <c r="E138" s="40"/>
      <c r="F138" s="40"/>
      <c r="G138" s="41"/>
      <c r="H138" s="41"/>
      <c r="I138" s="41">
        <f t="shared" si="8"/>
        <v>0</v>
      </c>
      <c r="J138" s="45"/>
      <c r="K138" s="43"/>
    </row>
    <row r="139" spans="1:11" ht="13.2" x14ac:dyDescent="0.25">
      <c r="A139" s="37"/>
      <c r="B139" s="38"/>
      <c r="C139" s="39" t="s">
        <v>17</v>
      </c>
      <c r="D139" s="38"/>
      <c r="E139" s="40"/>
      <c r="F139" s="40"/>
      <c r="G139" s="41"/>
      <c r="H139" s="41"/>
      <c r="I139" s="41">
        <f t="shared" si="8"/>
        <v>0</v>
      </c>
      <c r="J139" s="45"/>
      <c r="K139" s="43"/>
    </row>
    <row r="140" spans="1:11" ht="13.2" x14ac:dyDescent="0.25">
      <c r="A140" s="37"/>
      <c r="B140" s="38"/>
      <c r="C140" s="39" t="s">
        <v>17</v>
      </c>
      <c r="D140" s="38"/>
      <c r="E140" s="40"/>
      <c r="F140" s="40"/>
      <c r="G140" s="41"/>
      <c r="H140" s="41"/>
      <c r="I140" s="41">
        <f t="shared" si="8"/>
        <v>0</v>
      </c>
      <c r="J140" s="45"/>
      <c r="K140" s="43"/>
    </row>
    <row r="141" spans="1:11" ht="13.2" x14ac:dyDescent="0.25">
      <c r="A141" s="37"/>
      <c r="B141" s="38"/>
      <c r="C141" s="39" t="s">
        <v>17</v>
      </c>
      <c r="D141" s="38"/>
      <c r="E141" s="40"/>
      <c r="F141" s="40"/>
      <c r="G141" s="41"/>
      <c r="H141" s="41"/>
      <c r="I141" s="41">
        <f t="shared" si="8"/>
        <v>0</v>
      </c>
      <c r="J141" s="45"/>
      <c r="K141" s="43"/>
    </row>
    <row r="142" spans="1:11" ht="13.2" x14ac:dyDescent="0.25">
      <c r="A142" s="37"/>
      <c r="B142" s="38"/>
      <c r="C142" s="39" t="s">
        <v>17</v>
      </c>
      <c r="D142" s="38"/>
      <c r="E142" s="40"/>
      <c r="F142" s="40"/>
      <c r="G142" s="41"/>
      <c r="H142" s="41"/>
      <c r="I142" s="41">
        <f t="shared" si="8"/>
        <v>0</v>
      </c>
      <c r="J142" s="45"/>
      <c r="K142" s="43"/>
    </row>
    <row r="143" spans="1:11" ht="13.2" x14ac:dyDescent="0.25">
      <c r="A143" s="13"/>
      <c r="B143" s="15"/>
      <c r="C143" s="15"/>
      <c r="D143" s="15"/>
      <c r="E143" s="15" t="s">
        <v>18</v>
      </c>
      <c r="F143" s="15"/>
      <c r="G143" s="18">
        <f t="shared" ref="G143:H143" si="9">SUM(G133:G142)</f>
        <v>0</v>
      </c>
      <c r="H143" s="18">
        <f t="shared" si="9"/>
        <v>0</v>
      </c>
      <c r="I143" s="18">
        <f t="shared" si="8"/>
        <v>0</v>
      </c>
      <c r="J143" s="19"/>
      <c r="K143" s="46"/>
    </row>
    <row r="144" spans="1:11" ht="18.75" customHeight="1" x14ac:dyDescent="0.25">
      <c r="A144" s="57" t="s">
        <v>26</v>
      </c>
      <c r="B144" s="55"/>
      <c r="C144" s="55"/>
      <c r="D144" s="55"/>
      <c r="E144" s="55"/>
      <c r="F144" s="55"/>
      <c r="G144" s="55"/>
      <c r="H144" s="55"/>
      <c r="I144" s="55"/>
      <c r="J144" s="55"/>
      <c r="K144" s="56"/>
    </row>
    <row r="145" spans="1:11" ht="13.2" x14ac:dyDescent="0.25">
      <c r="A145" s="29" t="s">
        <v>12</v>
      </c>
      <c r="B145" s="75" t="s">
        <v>13</v>
      </c>
      <c r="C145" s="55"/>
      <c r="D145" s="55"/>
      <c r="E145" s="55"/>
      <c r="F145" s="55"/>
      <c r="G145" s="55"/>
      <c r="H145" s="55"/>
      <c r="I145" s="55"/>
      <c r="J145" s="55"/>
      <c r="K145" s="56"/>
    </row>
    <row r="146" spans="1:11" ht="28.5" customHeight="1" x14ac:dyDescent="0.25">
      <c r="A146" s="30" t="s">
        <v>14</v>
      </c>
      <c r="B146" s="75" t="s">
        <v>15</v>
      </c>
      <c r="C146" s="55"/>
      <c r="D146" s="55"/>
      <c r="E146" s="55"/>
      <c r="F146" s="55"/>
      <c r="G146" s="55"/>
      <c r="H146" s="55"/>
      <c r="I146" s="55"/>
      <c r="J146" s="55"/>
      <c r="K146" s="56"/>
    </row>
    <row r="147" spans="1:11" ht="13.2" x14ac:dyDescent="0.25">
      <c r="A147" s="37"/>
      <c r="B147" s="38"/>
      <c r="C147" s="39" t="s">
        <v>17</v>
      </c>
      <c r="D147" s="38"/>
      <c r="E147" s="40"/>
      <c r="F147" s="40"/>
      <c r="G147" s="41"/>
      <c r="H147" s="41"/>
      <c r="I147" s="41">
        <f t="shared" ref="I147:I157" si="10">H147-G147</f>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37"/>
      <c r="B152" s="38"/>
      <c r="C152" s="39" t="s">
        <v>17</v>
      </c>
      <c r="D152" s="38"/>
      <c r="E152" s="40"/>
      <c r="F152" s="40"/>
      <c r="G152" s="41"/>
      <c r="H152" s="41"/>
      <c r="I152" s="41">
        <f t="shared" si="10"/>
        <v>0</v>
      </c>
      <c r="J152" s="45"/>
      <c r="K152" s="43"/>
    </row>
    <row r="153" spans="1:11" ht="13.2" x14ac:dyDescent="0.25">
      <c r="A153" s="37"/>
      <c r="B153" s="38"/>
      <c r="C153" s="39" t="s">
        <v>17</v>
      </c>
      <c r="D153" s="38"/>
      <c r="E153" s="40"/>
      <c r="F153" s="40"/>
      <c r="G153" s="41"/>
      <c r="H153" s="41"/>
      <c r="I153" s="41">
        <f t="shared" si="10"/>
        <v>0</v>
      </c>
      <c r="J153" s="45"/>
      <c r="K153" s="43"/>
    </row>
    <row r="154" spans="1:11" ht="13.2" x14ac:dyDescent="0.25">
      <c r="A154" s="37"/>
      <c r="B154" s="38"/>
      <c r="C154" s="39" t="s">
        <v>17</v>
      </c>
      <c r="D154" s="38"/>
      <c r="E154" s="40"/>
      <c r="F154" s="40"/>
      <c r="G154" s="41"/>
      <c r="H154" s="41"/>
      <c r="I154" s="41">
        <f t="shared" si="10"/>
        <v>0</v>
      </c>
      <c r="J154" s="45"/>
      <c r="K154" s="43"/>
    </row>
    <row r="155" spans="1:11" ht="13.2" x14ac:dyDescent="0.25">
      <c r="A155" s="37"/>
      <c r="B155" s="38"/>
      <c r="C155" s="39" t="s">
        <v>17</v>
      </c>
      <c r="D155" s="38"/>
      <c r="E155" s="40"/>
      <c r="F155" s="40"/>
      <c r="G155" s="41"/>
      <c r="H155" s="41"/>
      <c r="I155" s="41">
        <f t="shared" si="10"/>
        <v>0</v>
      </c>
      <c r="J155" s="45"/>
      <c r="K155" s="43"/>
    </row>
    <row r="156" spans="1:11" ht="13.2" x14ac:dyDescent="0.25">
      <c r="A156" s="37"/>
      <c r="B156" s="38"/>
      <c r="C156" s="39" t="s">
        <v>17</v>
      </c>
      <c r="D156" s="38"/>
      <c r="E156" s="40"/>
      <c r="F156" s="40"/>
      <c r="G156" s="41"/>
      <c r="H156" s="41"/>
      <c r="I156" s="41">
        <f t="shared" si="10"/>
        <v>0</v>
      </c>
      <c r="J156" s="45"/>
      <c r="K156" s="43"/>
    </row>
    <row r="157" spans="1:11" ht="13.2" x14ac:dyDescent="0.25">
      <c r="A157" s="13"/>
      <c r="B157" s="15"/>
      <c r="C157" s="15"/>
      <c r="D157" s="15"/>
      <c r="E157" s="15" t="s">
        <v>18</v>
      </c>
      <c r="F157" s="15"/>
      <c r="G157" s="18">
        <f t="shared" ref="G157:H157" si="11">SUM(G147:G156)</f>
        <v>0</v>
      </c>
      <c r="H157" s="18">
        <f t="shared" si="11"/>
        <v>0</v>
      </c>
      <c r="I157" s="18">
        <f t="shared" si="10"/>
        <v>0</v>
      </c>
      <c r="J157" s="19"/>
      <c r="K157" s="46"/>
    </row>
    <row r="158" spans="1:11" ht="18.75" customHeight="1" x14ac:dyDescent="0.25">
      <c r="A158" s="62" t="s">
        <v>27</v>
      </c>
      <c r="B158" s="63"/>
      <c r="C158" s="63"/>
      <c r="D158" s="63"/>
      <c r="E158" s="63"/>
      <c r="F158" s="63"/>
      <c r="G158" s="63"/>
      <c r="H158" s="63"/>
      <c r="I158" s="63"/>
      <c r="J158" s="63"/>
      <c r="K158" s="64"/>
    </row>
    <row r="159" spans="1:11" ht="13.2" x14ac:dyDescent="0.25">
      <c r="A159" s="32" t="s">
        <v>12</v>
      </c>
      <c r="B159" s="65" t="s">
        <v>13</v>
      </c>
      <c r="C159" s="63"/>
      <c r="D159" s="63"/>
      <c r="E159" s="63"/>
      <c r="F159" s="63"/>
      <c r="G159" s="63"/>
      <c r="H159" s="63"/>
      <c r="I159" s="63"/>
      <c r="J159" s="63"/>
      <c r="K159" s="64"/>
    </row>
    <row r="160" spans="1:11" ht="28.5" customHeight="1" x14ac:dyDescent="0.25">
      <c r="A160" s="33" t="s">
        <v>14</v>
      </c>
      <c r="B160" s="65" t="s">
        <v>15</v>
      </c>
      <c r="C160" s="63"/>
      <c r="D160" s="63"/>
      <c r="E160" s="63"/>
      <c r="F160" s="63"/>
      <c r="G160" s="63"/>
      <c r="H160" s="63"/>
      <c r="I160" s="63"/>
      <c r="J160" s="63"/>
      <c r="K160" s="64"/>
    </row>
    <row r="161" spans="1:11" ht="13.2" x14ac:dyDescent="0.25">
      <c r="A161" s="37"/>
      <c r="B161" s="38"/>
      <c r="C161" s="39" t="s">
        <v>17</v>
      </c>
      <c r="D161" s="38"/>
      <c r="E161" s="40"/>
      <c r="F161" s="40"/>
      <c r="G161" s="41"/>
      <c r="H161" s="41"/>
      <c r="I161" s="41">
        <f t="shared" ref="I161:I171" si="12">H161-G161</f>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37"/>
      <c r="B166" s="38"/>
      <c r="C166" s="39" t="s">
        <v>17</v>
      </c>
      <c r="D166" s="38"/>
      <c r="E166" s="40"/>
      <c r="F166" s="40"/>
      <c r="G166" s="41"/>
      <c r="H166" s="41"/>
      <c r="I166" s="41">
        <f t="shared" si="12"/>
        <v>0</v>
      </c>
      <c r="J166" s="45"/>
      <c r="K166" s="43"/>
    </row>
    <row r="167" spans="1:11" ht="13.2" x14ac:dyDescent="0.25">
      <c r="A167" s="37"/>
      <c r="B167" s="38"/>
      <c r="C167" s="39" t="s">
        <v>17</v>
      </c>
      <c r="D167" s="38"/>
      <c r="E167" s="40"/>
      <c r="F167" s="40"/>
      <c r="G167" s="41"/>
      <c r="H167" s="41"/>
      <c r="I167" s="41">
        <f t="shared" si="12"/>
        <v>0</v>
      </c>
      <c r="J167" s="45"/>
      <c r="K167" s="43"/>
    </row>
    <row r="168" spans="1:11" ht="13.2" x14ac:dyDescent="0.25">
      <c r="A168" s="37"/>
      <c r="B168" s="38"/>
      <c r="C168" s="39" t="s">
        <v>17</v>
      </c>
      <c r="D168" s="38"/>
      <c r="E168" s="40"/>
      <c r="F168" s="40"/>
      <c r="G168" s="41"/>
      <c r="H168" s="41"/>
      <c r="I168" s="41">
        <f t="shared" si="12"/>
        <v>0</v>
      </c>
      <c r="J168" s="45"/>
      <c r="K168" s="43"/>
    </row>
    <row r="169" spans="1:11" ht="13.2" x14ac:dyDescent="0.25">
      <c r="A169" s="37"/>
      <c r="B169" s="38"/>
      <c r="C169" s="39" t="s">
        <v>17</v>
      </c>
      <c r="D169" s="38"/>
      <c r="E169" s="40"/>
      <c r="F169" s="40"/>
      <c r="G169" s="41"/>
      <c r="H169" s="41"/>
      <c r="I169" s="41">
        <f t="shared" si="12"/>
        <v>0</v>
      </c>
      <c r="J169" s="45"/>
      <c r="K169" s="43"/>
    </row>
    <row r="170" spans="1:11" ht="13.2" x14ac:dyDescent="0.25">
      <c r="A170" s="37"/>
      <c r="B170" s="38"/>
      <c r="C170" s="39" t="s">
        <v>17</v>
      </c>
      <c r="D170" s="38"/>
      <c r="E170" s="40"/>
      <c r="F170" s="40"/>
      <c r="G170" s="41"/>
      <c r="H170" s="41"/>
      <c r="I170" s="41">
        <f t="shared" si="12"/>
        <v>0</v>
      </c>
      <c r="J170" s="45"/>
      <c r="K170" s="43"/>
    </row>
    <row r="171" spans="1:11" ht="13.2" x14ac:dyDescent="0.25">
      <c r="A171" s="48"/>
      <c r="B171" s="49"/>
      <c r="C171" s="49"/>
      <c r="D171" s="49"/>
      <c r="E171" s="49" t="s">
        <v>18</v>
      </c>
      <c r="F171" s="49"/>
      <c r="G171" s="50">
        <f t="shared" ref="G171:H171" si="13">SUM(G161:G170)</f>
        <v>0</v>
      </c>
      <c r="H171" s="50">
        <f t="shared" si="13"/>
        <v>0</v>
      </c>
      <c r="I171" s="50">
        <f t="shared" si="12"/>
        <v>0</v>
      </c>
      <c r="J171" s="51"/>
      <c r="K171" s="52"/>
    </row>
  </sheetData>
  <autoFilter ref="A1:K46" xr:uid="{00000000-0009-0000-0000-000000000000}"/>
  <customSheetViews>
    <customSheetView guid="{8BAC9A6B-5D32-4E8D-967D-E17D357516F8}" filter="1" showAutoFilter="1">
      <pageMargins left="0" right="0" top="0" bottom="0" header="0" footer="0"/>
      <autoFilter ref="A1:K15" xr:uid="{7C9185E5-A137-49DC-B738-85C392A73DBD}">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58:K158"/>
    <mergeCell ref="B159:K159"/>
    <mergeCell ref="B160:K160"/>
    <mergeCell ref="A2:K2"/>
    <mergeCell ref="B3:K3"/>
    <mergeCell ref="B4:K4"/>
    <mergeCell ref="A47:K47"/>
    <mergeCell ref="B48:K48"/>
    <mergeCell ref="B49:K49"/>
    <mergeCell ref="A83:K83"/>
    <mergeCell ref="B84:K84"/>
    <mergeCell ref="B85:K85"/>
    <mergeCell ref="A102:K102"/>
    <mergeCell ref="B145:K145"/>
    <mergeCell ref="B146:K146"/>
    <mergeCell ref="B103:K103"/>
    <mergeCell ref="B131:K131"/>
    <mergeCell ref="B132:K132"/>
    <mergeCell ref="A144:K144"/>
    <mergeCell ref="B104:K104"/>
    <mergeCell ref="A116:K116"/>
    <mergeCell ref="B117:K117"/>
    <mergeCell ref="B118:K118"/>
    <mergeCell ref="A130:K130"/>
  </mergeCells>
  <conditionalFormatting sqref="B5:B45 B48:B81 B86:B100 B105:B114 B119:B128 B133:B142 B147:B156">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01 B103:B115 B117:B129 B131:B143 B145:B157 B159:B171">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61:B170">
    <cfRule type="containsText" dxfId="8" priority="1" operator="containsText" text="Unplanned">
      <formula>NOT(ISERROR(SEARCH(("Unplanned"),(B161))))</formula>
    </cfRule>
    <cfRule type="containsText" dxfId="7" priority="2" operator="containsText" text="Planned">
      <formula>NOT(ISERROR(SEARCH(("Planned"),(B161))))</formula>
    </cfRule>
    <cfRule type="containsText" dxfId="6" priority="3" operator="containsText" text="In-Progress">
      <formula>NOT(ISERROR(SEARCH(("In-Progress"),(B161))))</formula>
    </cfRule>
    <cfRule type="containsText" dxfId="5" priority="4" operator="containsText" text="Blocked">
      <formula>NOT(ISERROR(SEARCH(("Blocked"),(B161))))</formula>
    </cfRule>
    <cfRule type="containsText" dxfId="4" priority="5" operator="containsText" text="Done">
      <formula>NOT(ISERROR(SEARCH(("Done"),(B161))))</formula>
    </cfRule>
  </conditionalFormatting>
  <conditionalFormatting sqref="G1 G3:G46 G50:G82 G86:G101 G105:G115 G119:G129 G133:G143 G147:G157 G161:G171">
    <cfRule type="cellIs" dxfId="3" priority="15" operator="greaterThan">
      <formula>4</formula>
    </cfRule>
  </conditionalFormatting>
  <conditionalFormatting sqref="H1:H171">
    <cfRule type="containsBlanks" dxfId="2" priority="16">
      <formula>LEN(TRIM(H1))=0</formula>
    </cfRule>
  </conditionalFormatting>
  <conditionalFormatting sqref="I5:I46 I50:I82 I86:I101 I105:I115 I119:I129 I133:I143 I147:I157 I161:I171">
    <cfRule type="expression" dxfId="1" priority="13">
      <formula>H5/G5&gt;=1.5</formula>
    </cfRule>
    <cfRule type="expression" dxfId="0" priority="14">
      <formula>H5/G5&lt;=0.5</formula>
    </cfRule>
  </conditionalFormatting>
  <dataValidations count="1">
    <dataValidation type="list" allowBlank="1" sqref="F161:F170 F147:F156 F86:F100 F105:F114 F119:F128 F133:F142 F5:F45 F50:F81"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E86:E100 E105:E114 E119:E128 E133:E142 E147:E156 E161:E170 E50:E81</xm:sqref>
        </x14:dataValidation>
        <x14:dataValidation type="list" allowBlank="1" xr:uid="{00000000-0002-0000-0000-000002000000}">
          <x14:formula1>
            <xm:f>'Drop-downs'!$A$2:$A$9</xm:f>
          </x14:formula1>
          <xm:sqref>B5:B45 B86:B100 B105:B114 B119:B128 B133:B142 B147:B156 B161:B170 B50:B81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2024-12-03T15:24:07Z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