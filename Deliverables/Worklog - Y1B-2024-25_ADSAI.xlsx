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6F1FB65E-3215-48CB-9C09-1C1847BE51A1}"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4" i="1" l="1"/>
  <c r="H146" i="1"/>
  <c r="H44" i="1"/>
  <c r="I209" i="1"/>
  <c r="I250" i="1"/>
  <c r="I249" i="1"/>
  <c r="I257"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1" i="1"/>
  <c r="G261" i="1"/>
  <c r="I260" i="1"/>
  <c r="I259" i="1"/>
  <c r="I258" i="1"/>
  <c r="I247" i="1"/>
  <c r="I245" i="1"/>
  <c r="I244" i="1"/>
  <c r="I242" i="1"/>
  <c r="I241" i="1"/>
  <c r="I240" i="1"/>
  <c r="I239" i="1"/>
  <c r="H235" i="1"/>
  <c r="G235" i="1"/>
  <c r="B9" i="2"/>
  <c r="B8" i="2"/>
  <c r="B11" i="2"/>
  <c r="B10" i="2"/>
  <c r="K11" i="2"/>
  <c r="I261"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3"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<sst xmlns="http://schemas.openxmlformats.org/spreadsheetml/2006/main" count="1414" uniqueCount="409">
  <si>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</si>
  <si>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</si>
  <si>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</si>
  <si>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</si>
  <si>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</si>
  <si>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</si>
  <si>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</si>
  <si>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</si>
  <si>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</si>
  <si>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</si>
  <si>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</si>
  <si>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</si>
  <si>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</si>
  <si>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</si>
  <si>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</si>
  <si>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</si>
  <si>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</si>
  <si>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</si>
  <si>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</si>
  <si>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</si>
  <si>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</si>
  <si>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</si>
  <si>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</si>
  <si>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</si>
  <si>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</si>
  <si>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</si>
  <si>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</si>
  <si>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</si>
  <si>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</si>
  <si>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</si>
  <si>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</si>
  <si>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</si>
  <si>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</si>
  <si>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</si>
  <si>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</si>
  <si>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</si>
  <si>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</si>
  <si>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</si>
  <si>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</si>
  <si>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</si>
  <si>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</si>
  <si>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</si>
  <si>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</si>
  <si>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</si>
  <si>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</si>
  <si>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</si>
  <si>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</si>
  <si>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</si>
  <si>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</si>
  <si>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</si>
  <si>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</si>
  <si>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</si>
  <si>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</si>
  <si>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</si>
  <si>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</si>
  <si>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</si>
  <si>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</si>
  <si>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</si>
  <si>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</si>
  <si>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</si>
  <si>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</si>
  <si>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</si>
  <si>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</si>
  <si>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</si>
  <si>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</si>
  <si>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</si>
  <si>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</si>
  <si>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</si>
  <si>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</si>
  <si>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</si>
  <si>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</si>
  <si>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</si>
  <si>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</si>
  <si>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</si>
  <si>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</si>
  <si>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</si>
  <si>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</si>
  <si>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</si>
  <si>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</si>
  <si>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</si>
  <si>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</si>
  <si>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</si>
  <si>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</si>
  <si>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</si>
  <si>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</si>
  <si>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</si>
  <si>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</si>
  <si>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</si>
  <si>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</si>
  <si>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</si>
  <si>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</si>
  <si>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</si>
  <si>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</si>
  <si>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</si>
  <si>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</si>
  <si>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</si>
  <si>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</si>
  <si>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</si>
  <si>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</si>
  <si>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</si>
  <si>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</si>
  <si>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</si>
  <si>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</si>
  <si>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</si>
  <si>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</si>
  <si>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</si>
  <si>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</si>
  <si>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</si>
  <si>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</si>
  <si>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</si>
  <si>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</si>
  <si>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</si>
  <si>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</si>
  <si>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</si>
  <si>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</si>
  <si>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</si>
  <si>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</si>
  <si>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</si>
  <si>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</si>
  <si>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</si>
  <si>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</si>
  <si>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</si>
  <si>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</si>
  <si>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</si>
  <si>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</si>
  <si>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</si>
  <si>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</si>
  <si>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</si>
  <si>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</si>
  <si>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</si>
  <si>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</si>
  <si>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</si>
  <si>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</si>
  <si>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</si>
  <si>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</si>
  <si>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</si>
  <si>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</si>
  <si>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</si>
  <si>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</si>
  <si>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</si>
  <si>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</si>
  <si>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</si>
  <si>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</si>
  <si>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</si>
  <si>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</si>
  <si>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</si>
  <si>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</si>
  <si>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</si>
  <si>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</si>
  <si>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</si>
  <si>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</si>
  <si>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</si>
  <si>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</si>
  <si>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</si>
  <si>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</si>
  <si>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</si>
  <si>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</si>
  <si>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</si>
  <si>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</si>
  <si>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</si>
  <si>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</si>
  <si>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</si>
  <si>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</si>
  <si>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</si>
  <si>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</si>
  <si>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</si>
  <si>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</si>
  <si>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</si>
  <si>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</si>
  <si>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</si>
  <si>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</si>
  <si>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</si>
  <si>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</si>
  <si>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</si>
  <si>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</si>
  <si>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</si>
  <si>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</si>
  <si>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</si>
  <si>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</si>
  <si>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</si>
  <si>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</si>
  <si>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</si>
  <si>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</si>
  <si>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</si>
  <si>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</si>
  <si>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</si>
  <si>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</si>
  <si>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</si>
  <si>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</si>
  <si>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</si>
  <si>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</si>
  <si>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</si>
  <si>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</si>
  <si>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</si>
  <si>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</si>
  <si>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</si>
  <si>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</si>
  <si>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</si>
  <si>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</si>
  <si>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</si>
  <si>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</si>
  <si>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</si>
  <si>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</si>
  <si>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</si>
  <si>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</si>
  <si>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</si>
  <si>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</si>
  <si>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</si>
  <si>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</si>
  <si>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</si>
  <si>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</si>
  <si>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</si>
  <si>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</si>
  <si>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</si>
  <si>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</si>
  <si>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</si>
  <si>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</si>
  <si>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</si>
  <si>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</si>
  <si>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</si>
  <si>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</si>
  <si>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</si>
  <si>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</si>
  <si>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</si>
  <si>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</si>
  <si>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</si>
  <si>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</si>
  <si>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</si>
  <si>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</si>
  <si>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</si>
  <si>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</si>
  <si>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</si>
  <si>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</si>
  <si>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</si>
  <si>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</si>
  <si>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</si>
  <si>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</si>
  <si>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</si>
  <si>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</si>
  <si>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</si>
  <si>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</si>
  <si>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</si>
  <si>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</si>
  <si>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</si>
  <si>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</si>
  <si>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</si>
  <si>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</si>
  <si>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</si>
  <si>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</si>
  <si>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</si>
  <si>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</si>
  <si>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</si>
  <si>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</si>
  <si>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</si>
  <si>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</si>
  <si>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</si>
  <si>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</si>
  <si>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</si>
  <si>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</si>
  <si>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</si>
  <si>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</si>
  <si>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</si>
  <si>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</si>
  <si>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</si>
  <si>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</si>
  <si>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</si>
  <si>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</si>
  <si>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</si>
  <si>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</si>
  <si>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</si>
  <si>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</si>
  <si>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</si>
  <si>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</si>
  <si>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</si>
  <si>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</si>
  <si>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</si>
  <si>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</si>
  <si>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</si>
  <si>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</si>
  <si>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</si>
  <si>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</si>
  <si>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</si>
  <si>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</si>
  <si>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</si>
  <si>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</si>
  <si>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</si>
  <si>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</si>
  <si>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</si>
  <si>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</si>
  <si>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</si>
  <si>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</si>
  <si>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</si>
  <si>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</si>
  <si>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</si>
  <si>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</si>
  <si>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</si>
  <si>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</si>
  <si>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</si>
  <si>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</si>
  <si>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</si>
  <si>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</si>
  <si>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</si>
  <si>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</si>
  <si>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</si>
  <si>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</si>
  <si>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</si>
  <si>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</si>
  <si>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</si>
  <si>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</si>
  <si>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</si>
  <si>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</si>
  <si>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</si>
  <si>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</si>
  <si>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</si>
  <si>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</si>
  <si>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</si>
  <si>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</si>
  <si>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</si>
  <si>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</si>
  <si>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</si>
  <si>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</si>
  <si>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</si>
  <si>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</si>
  <si>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</si>
  <si>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</si>
  <si>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</si>
  <si>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</si>
  <si>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</si>
  <si>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</si>
  <si>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</si>
  <si>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</si>
  <si>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</si>
  <si>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</si>
  <si>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</si>
  <si>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</si>
  <si>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</si>
  <si>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</si>
  <si>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</si>
  <si>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</si>
  <si>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</si>
  <si>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</si>
  <si>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</si>
  <si>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</si>
  <si>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</si>
  <si>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</si>
  <si>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</si>
  <si>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</si>
  <si>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</si>
  <si>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</si>
  <si>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</si>
  <si>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</si>
  <si>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</si>
  <si>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</si>
  <si>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</si>
  <si>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</si>
  <si>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</si>
  <si>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</si>
  <si>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</si>
  <si>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</si>
  <si>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Learning 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</si>
  <si>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</si>
  <si>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</si>
  <si>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</si>
  <si>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</si>
  <si>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</si>
  <si>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</si>
  <si>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AAA</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</si>
  <si>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</si>
  <si>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</si>
  <si>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</si>
  <si>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</si>
  <si>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</si>
  <si>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</si>
  <si>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</si>
  <si>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I'm still not too sure about the SMATER goals. AAA</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</si>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</sst>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3" fillId="0" borderId="7" xfId="1" applyBorder="1" applyAlignment="1">
      <alignment vertical="top"/>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5" Type="http://schemas.openxmlformats.org/officeDocument/2006/relationships/printerSettings" Target="../printerSettings/printerSettings1.bin"/><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3"/>
  <sheetViews>
    <sheetView tabSelected="1" workbookViewId="0">
      <pane ySplit="1" topLeftCell="A224" activePane="bottomLeft" state="frozen"/>
      <selection pane="bottomLeft" activeCell="K242" sqref="K242"/>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59" t="s">
        <v>11</v>
      </c>
      <c r="B2" s="60"/>
      <c r="C2" s="60"/>
      <c r="D2" s="60"/>
      <c r="E2" s="60"/>
      <c r="F2" s="60"/>
      <c r="G2" s="60"/>
      <c r="H2" s="60"/>
      <c r="I2" s="60"/>
      <c r="J2" s="60"/>
      <c r="K2" s="61"/>
    </row>
    <row r="3" spans="1:11" ht="12.5" x14ac:dyDescent="0.25">
      <c r="A3" s="5" t="s">
        <v>12</v>
      </c>
      <c r="B3" s="62" t="s">
        <v>13</v>
      </c>
      <c r="C3" s="63"/>
      <c r="D3" s="63"/>
      <c r="E3" s="63"/>
      <c r="F3" s="63"/>
      <c r="G3" s="63"/>
      <c r="H3" s="63"/>
      <c r="I3" s="63"/>
      <c r="J3" s="63"/>
      <c r="K3" s="64"/>
    </row>
    <row r="4" spans="1:11" ht="27.75" customHeight="1" x14ac:dyDescent="0.25">
      <c r="A4" s="8" t="s">
        <v>14</v>
      </c>
      <c r="B4" s="62" t="s">
        <v>15</v>
      </c>
      <c r="C4" s="63"/>
      <c r="D4" s="63"/>
      <c r="E4" s="63"/>
      <c r="F4" s="63"/>
      <c r="G4" s="63"/>
      <c r="H4" s="63"/>
      <c r="I4" s="63"/>
      <c r="J4" s="63"/>
      <c r="K4" s="64"/>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382</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378</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368</v>
      </c>
      <c r="K14" s="44"/>
    </row>
    <row r="15" spans="1:11" ht="12.5" x14ac:dyDescent="0.25">
      <c r="A15" s="37">
        <v>45615</v>
      </c>
      <c r="B15" s="38" t="s">
        <v>54</v>
      </c>
      <c r="C15" s="39" t="s">
        <v>79</v>
      </c>
      <c r="D15" s="38" t="s">
        <v>238</v>
      </c>
      <c r="E15" s="40" t="s">
        <v>63</v>
      </c>
      <c r="F15" s="40" t="s">
        <v>86</v>
      </c>
      <c r="G15" s="41">
        <v>0.25</v>
      </c>
      <c r="H15" s="41">
        <v>0.25</v>
      </c>
      <c r="I15" s="41">
        <f t="shared" si="0"/>
        <v>0</v>
      </c>
      <c r="J15" s="45"/>
      <c r="K15" s="44" t="s">
        <v>366</v>
      </c>
    </row>
    <row r="16" spans="1:11" ht="12.5" x14ac:dyDescent="0.25">
      <c r="A16" s="37">
        <v>45615</v>
      </c>
      <c r="B16" s="38" t="s">
        <v>54</v>
      </c>
      <c r="C16" s="39" t="s">
        <v>235</v>
      </c>
      <c r="D16" s="38" t="s">
        <v>80</v>
      </c>
      <c r="E16" s="40" t="s">
        <v>63</v>
      </c>
      <c r="F16" s="40" t="s">
        <v>86</v>
      </c>
      <c r="G16" s="41">
        <v>0.25</v>
      </c>
      <c r="H16" s="41">
        <v>0.25</v>
      </c>
      <c r="I16" s="41">
        <f t="shared" si="0"/>
        <v>0</v>
      </c>
      <c r="J16" s="53" t="s">
        <v>367</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369</v>
      </c>
    </row>
    <row r="18" spans="1:11" ht="12.5" x14ac:dyDescent="0.25">
      <c r="A18" s="37">
        <v>45615</v>
      </c>
      <c r="B18" s="38" t="s">
        <v>54</v>
      </c>
      <c r="C18" s="39" t="s">
        <v>235</v>
      </c>
      <c r="D18" s="38" t="s">
        <v>82</v>
      </c>
      <c r="E18" s="40" t="s">
        <v>63</v>
      </c>
      <c r="F18" s="40" t="s">
        <v>86</v>
      </c>
      <c r="G18" s="41">
        <v>0.25</v>
      </c>
      <c r="H18" s="41">
        <v>0.25</v>
      </c>
      <c r="I18" s="41">
        <f t="shared" si="0"/>
        <v>0</v>
      </c>
      <c r="J18" s="45"/>
      <c r="K18" s="44" t="s">
        <v>366</v>
      </c>
    </row>
    <row r="19" spans="1:11" ht="12.5" x14ac:dyDescent="0.25">
      <c r="A19" s="37">
        <v>45615</v>
      </c>
      <c r="B19" s="38" t="s">
        <v>54</v>
      </c>
      <c r="C19" s="39" t="s">
        <v>235</v>
      </c>
      <c r="D19" s="38" t="s">
        <v>89</v>
      </c>
      <c r="E19" s="40" t="s">
        <v>49</v>
      </c>
      <c r="F19" s="40" t="s">
        <v>88</v>
      </c>
      <c r="G19" s="41">
        <v>0.25</v>
      </c>
      <c r="H19" s="41">
        <v>0.25</v>
      </c>
      <c r="I19" s="41">
        <f t="shared" si="0"/>
        <v>0</v>
      </c>
      <c r="J19" s="53" t="s">
        <v>365</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370</v>
      </c>
      <c r="E21" s="40" t="s">
        <v>49</v>
      </c>
      <c r="F21" s="40" t="s">
        <v>88</v>
      </c>
      <c r="G21" s="41">
        <v>3</v>
      </c>
      <c r="H21" s="41">
        <v>3</v>
      </c>
      <c r="I21" s="41">
        <f t="shared" si="0"/>
        <v>0</v>
      </c>
      <c r="J21" s="53" t="s">
        <v>384</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45"/>
      <c r="K23" s="44" t="s">
        <v>366</v>
      </c>
    </row>
    <row r="24" spans="1:11" ht="12.5" x14ac:dyDescent="0.25">
      <c r="A24" s="37">
        <v>45617</v>
      </c>
      <c r="B24" s="38" t="s">
        <v>54</v>
      </c>
      <c r="C24" s="39" t="s">
        <v>240</v>
      </c>
      <c r="D24" s="38" t="s">
        <v>94</v>
      </c>
      <c r="E24" s="40" t="s">
        <v>66</v>
      </c>
      <c r="F24" s="40" t="s">
        <v>104</v>
      </c>
      <c r="G24" s="41">
        <v>1</v>
      </c>
      <c r="H24" s="41">
        <v>1</v>
      </c>
      <c r="I24" s="41">
        <f t="shared" si="0"/>
        <v>0</v>
      </c>
      <c r="J24" s="53" t="s">
        <v>371</v>
      </c>
      <c r="K24" s="44"/>
    </row>
    <row r="25" spans="1:11" ht="12.5" x14ac:dyDescent="0.25">
      <c r="A25" s="37">
        <v>45617</v>
      </c>
      <c r="B25" s="38" t="s">
        <v>54</v>
      </c>
      <c r="C25" s="39" t="s">
        <v>240</v>
      </c>
      <c r="D25" s="38" t="s">
        <v>93</v>
      </c>
      <c r="E25" s="40" t="s">
        <v>66</v>
      </c>
      <c r="F25" s="40" t="s">
        <v>104</v>
      </c>
      <c r="G25" s="41">
        <v>1</v>
      </c>
      <c r="H25" s="41">
        <v>1</v>
      </c>
      <c r="I25" s="41">
        <f t="shared" si="0"/>
        <v>0</v>
      </c>
      <c r="J25" s="53" t="s">
        <v>371</v>
      </c>
      <c r="K25" s="44"/>
    </row>
    <row r="26" spans="1:11" ht="12.5" x14ac:dyDescent="0.25">
      <c r="A26" s="37">
        <v>45617</v>
      </c>
      <c r="B26" s="38" t="s">
        <v>54</v>
      </c>
      <c r="C26" s="39" t="s">
        <v>240</v>
      </c>
      <c r="D26" s="38" t="s">
        <v>95</v>
      </c>
      <c r="E26" s="40" t="s">
        <v>66</v>
      </c>
      <c r="F26" s="40" t="s">
        <v>104</v>
      </c>
      <c r="G26" s="41">
        <v>2</v>
      </c>
      <c r="H26" s="41">
        <v>2</v>
      </c>
      <c r="I26" s="41">
        <f t="shared" si="0"/>
        <v>0</v>
      </c>
      <c r="J26" s="53" t="s">
        <v>371</v>
      </c>
      <c r="K26" s="44"/>
    </row>
    <row r="27" spans="1:11" ht="12.5" x14ac:dyDescent="0.25">
      <c r="A27" s="37">
        <v>45617</v>
      </c>
      <c r="B27" s="38" t="s">
        <v>54</v>
      </c>
      <c r="C27" s="39" t="s">
        <v>240</v>
      </c>
      <c r="D27" s="38" t="s">
        <v>96</v>
      </c>
      <c r="E27" s="40" t="s">
        <v>66</v>
      </c>
      <c r="F27" s="40" t="s">
        <v>104</v>
      </c>
      <c r="G27" s="41">
        <v>2</v>
      </c>
      <c r="H27" s="41">
        <v>2</v>
      </c>
      <c r="I27" s="41">
        <f t="shared" si="0"/>
        <v>0</v>
      </c>
      <c r="J27" s="53" t="s">
        <v>371</v>
      </c>
      <c r="K27" s="44"/>
    </row>
    <row r="28" spans="1:11" ht="12.5" x14ac:dyDescent="0.25">
      <c r="A28" s="37">
        <v>45617</v>
      </c>
      <c r="B28" s="38" t="s">
        <v>54</v>
      </c>
      <c r="C28" s="39" t="s">
        <v>240</v>
      </c>
      <c r="D28" s="38" t="s">
        <v>97</v>
      </c>
      <c r="E28" s="40" t="s">
        <v>66</v>
      </c>
      <c r="F28" s="40" t="s">
        <v>104</v>
      </c>
      <c r="G28" s="41">
        <v>1</v>
      </c>
      <c r="H28" s="41">
        <v>1</v>
      </c>
      <c r="I28" s="41">
        <f t="shared" si="0"/>
        <v>0</v>
      </c>
      <c r="J28" s="53" t="s">
        <v>371</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373</v>
      </c>
    </row>
    <row r="30" spans="1:11" ht="12.5" x14ac:dyDescent="0.25">
      <c r="A30" s="37">
        <v>45617</v>
      </c>
      <c r="B30" s="38" t="s">
        <v>54</v>
      </c>
      <c r="C30" s="39" t="s">
        <v>63</v>
      </c>
      <c r="D30" s="38" t="s">
        <v>106</v>
      </c>
      <c r="E30" s="40" t="s">
        <v>63</v>
      </c>
      <c r="F30" s="40" t="s">
        <v>86</v>
      </c>
      <c r="G30" s="41">
        <v>0.5</v>
      </c>
      <c r="H30" s="41">
        <v>0.5</v>
      </c>
      <c r="I30" s="41">
        <f t="shared" si="0"/>
        <v>0</v>
      </c>
      <c r="J30" s="53" t="s">
        <v>367</v>
      </c>
      <c r="K30" s="44"/>
    </row>
    <row r="31" spans="1:11" ht="12.5" x14ac:dyDescent="0.25">
      <c r="A31" s="37">
        <v>45618</v>
      </c>
      <c r="B31" s="38" t="s">
        <v>54</v>
      </c>
      <c r="C31" s="39" t="s">
        <v>79</v>
      </c>
      <c r="D31" s="38" t="s">
        <v>241</v>
      </c>
      <c r="E31" s="40" t="s">
        <v>61</v>
      </c>
      <c r="F31" s="40" t="s">
        <v>86</v>
      </c>
      <c r="G31" s="41">
        <v>0.25</v>
      </c>
      <c r="H31" s="41">
        <v>0.25</v>
      </c>
      <c r="I31" s="41">
        <f t="shared" si="0"/>
        <v>0</v>
      </c>
      <c r="J31" s="45"/>
      <c r="K31" s="44" t="s">
        <v>366</v>
      </c>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372</v>
      </c>
      <c r="K38" s="44"/>
    </row>
    <row r="39" spans="1:11" ht="12.5" x14ac:dyDescent="0.25">
      <c r="A39" s="37">
        <v>45618</v>
      </c>
      <c r="B39" s="38" t="s">
        <v>60</v>
      </c>
      <c r="C39" s="39" t="s">
        <v>244</v>
      </c>
      <c r="D39" s="38" t="s">
        <v>112</v>
      </c>
      <c r="E39" s="40" t="s">
        <v>49</v>
      </c>
      <c r="F39" s="40" t="s">
        <v>104</v>
      </c>
      <c r="G39" s="41">
        <v>1</v>
      </c>
      <c r="H39" s="41">
        <v>1</v>
      </c>
      <c r="I39" s="41">
        <f t="shared" si="0"/>
        <v>0</v>
      </c>
      <c r="J39" s="53" t="s">
        <v>376</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372</v>
      </c>
      <c r="K40" s="44"/>
    </row>
    <row r="41" spans="1:11" ht="12.5" x14ac:dyDescent="0.25">
      <c r="A41" s="37">
        <v>45618</v>
      </c>
      <c r="B41" s="38" t="s">
        <v>54</v>
      </c>
      <c r="C41" s="39" t="s">
        <v>79</v>
      </c>
      <c r="D41" s="38" t="s">
        <v>107</v>
      </c>
      <c r="E41" s="40" t="s">
        <v>63</v>
      </c>
      <c r="F41" s="40" t="s">
        <v>86</v>
      </c>
      <c r="G41" s="41">
        <v>0.5</v>
      </c>
      <c r="H41" s="41">
        <v>0.5</v>
      </c>
      <c r="I41" s="41">
        <f t="shared" si="0"/>
        <v>0</v>
      </c>
      <c r="J41" s="45"/>
      <c r="K41" s="44" t="s">
        <v>366</v>
      </c>
    </row>
    <row r="42" spans="1:11" ht="12.5" x14ac:dyDescent="0.25">
      <c r="A42" s="37">
        <v>45618</v>
      </c>
      <c r="B42" s="38" t="s">
        <v>54</v>
      </c>
      <c r="C42" s="39" t="s">
        <v>197</v>
      </c>
      <c r="D42" s="38" t="s">
        <v>102</v>
      </c>
      <c r="E42" s="40" t="s">
        <v>63</v>
      </c>
      <c r="F42" s="40" t="s">
        <v>87</v>
      </c>
      <c r="G42" s="41">
        <v>0.5</v>
      </c>
      <c r="H42" s="41">
        <v>0.5</v>
      </c>
      <c r="I42" s="41">
        <f t="shared" si="0"/>
        <v>0</v>
      </c>
      <c r="J42" s="45"/>
      <c r="K42" s="44"/>
    </row>
    <row r="43" spans="1:11" ht="12.5" x14ac:dyDescent="0.25">
      <c r="A43" s="37">
        <v>45618</v>
      </c>
      <c r="B43" s="38" t="s">
        <v>54</v>
      </c>
      <c r="C43" s="39" t="s">
        <v>197</v>
      </c>
      <c r="D43" s="38" t="s">
        <v>140</v>
      </c>
      <c r="E43" s="40" t="s">
        <v>63</v>
      </c>
      <c r="F43" s="40" t="s">
        <v>87</v>
      </c>
      <c r="G43" s="41">
        <v>0.5</v>
      </c>
      <c r="H43" s="41">
        <v>0.15</v>
      </c>
      <c r="I43" s="41">
        <f t="shared" si="0"/>
        <v>-0.35</v>
      </c>
      <c r="J43" s="45"/>
      <c r="K43" s="44" t="s">
        <v>366</v>
      </c>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65" t="s">
        <v>19</v>
      </c>
      <c r="B45" s="60"/>
      <c r="C45" s="60"/>
      <c r="D45" s="60"/>
      <c r="E45" s="60"/>
      <c r="F45" s="60"/>
      <c r="G45" s="60"/>
      <c r="H45" s="60"/>
      <c r="I45" s="60"/>
      <c r="J45" s="60"/>
      <c r="K45" s="61"/>
    </row>
    <row r="46" spans="1:11" ht="12.5" x14ac:dyDescent="0.25">
      <c r="A46" s="31" t="s">
        <v>12</v>
      </c>
      <c r="B46" s="66" t="s">
        <v>13</v>
      </c>
      <c r="C46" s="63"/>
      <c r="D46" s="63"/>
      <c r="E46" s="63"/>
      <c r="F46" s="63"/>
      <c r="G46" s="63"/>
      <c r="H46" s="63"/>
      <c r="I46" s="63"/>
      <c r="J46" s="63"/>
      <c r="K46" s="64"/>
    </row>
    <row r="47" spans="1:11" ht="27.75" customHeight="1" x14ac:dyDescent="0.25">
      <c r="A47" s="20" t="s">
        <v>14</v>
      </c>
      <c r="B47" s="66" t="s">
        <v>20</v>
      </c>
      <c r="C47" s="63"/>
      <c r="D47" s="63"/>
      <c r="E47" s="63"/>
      <c r="F47" s="63"/>
      <c r="G47" s="63"/>
      <c r="H47" s="63"/>
      <c r="I47" s="63"/>
      <c r="J47" s="63"/>
      <c r="K47" s="64"/>
    </row>
    <row r="48" spans="1:11" ht="12.5" x14ac:dyDescent="0.25">
      <c r="A48" s="47">
        <v>45621</v>
      </c>
      <c r="B48" s="38" t="s">
        <v>54</v>
      </c>
      <c r="C48" s="39" t="s">
        <v>79</v>
      </c>
      <c r="D48" s="38" t="s">
        <v>245</v>
      </c>
      <c r="E48" s="40" t="s">
        <v>63</v>
      </c>
      <c r="F48" s="40" t="s">
        <v>86</v>
      </c>
      <c r="G48" s="41">
        <v>0.5</v>
      </c>
      <c r="H48" s="41">
        <v>0.5</v>
      </c>
      <c r="I48" s="41">
        <f t="shared" ref="I48:I79" si="1">H48-G48</f>
        <v>0</v>
      </c>
      <c r="J48" s="45"/>
      <c r="K48" s="43" t="s">
        <v>366</v>
      </c>
    </row>
    <row r="49" spans="1:11" ht="12.5" x14ac:dyDescent="0.25">
      <c r="A49" s="47">
        <v>45621</v>
      </c>
      <c r="B49" s="38" t="s">
        <v>54</v>
      </c>
      <c r="C49" s="39" t="s">
        <v>246</v>
      </c>
      <c r="D49" s="38" t="s">
        <v>113</v>
      </c>
      <c r="E49" s="40" t="s">
        <v>66</v>
      </c>
      <c r="F49" s="40" t="s">
        <v>104</v>
      </c>
      <c r="G49" s="41">
        <v>1</v>
      </c>
      <c r="H49" s="41">
        <v>1</v>
      </c>
      <c r="I49" s="41">
        <f t="shared" si="1"/>
        <v>0</v>
      </c>
      <c r="J49" s="53" t="s">
        <v>371</v>
      </c>
      <c r="K49" s="43"/>
    </row>
    <row r="50" spans="1:11" ht="12.5" x14ac:dyDescent="0.25">
      <c r="A50" s="47">
        <v>45621</v>
      </c>
      <c r="B50" s="38" t="s">
        <v>54</v>
      </c>
      <c r="C50" s="39" t="s">
        <v>246</v>
      </c>
      <c r="D50" s="38" t="s">
        <v>114</v>
      </c>
      <c r="E50" s="40" t="s">
        <v>66</v>
      </c>
      <c r="F50" s="40" t="s">
        <v>104</v>
      </c>
      <c r="G50" s="41">
        <v>2</v>
      </c>
      <c r="H50" s="41">
        <v>2</v>
      </c>
      <c r="I50" s="41">
        <f t="shared" si="1"/>
        <v>0</v>
      </c>
      <c r="J50" s="53" t="s">
        <v>371</v>
      </c>
      <c r="K50" s="43"/>
    </row>
    <row r="51" spans="1:11" ht="12.5" x14ac:dyDescent="0.25">
      <c r="A51" s="47">
        <v>45621</v>
      </c>
      <c r="B51" s="38" t="s">
        <v>54</v>
      </c>
      <c r="C51" s="39" t="s">
        <v>246</v>
      </c>
      <c r="D51" s="38" t="s">
        <v>115</v>
      </c>
      <c r="E51" s="40" t="s">
        <v>66</v>
      </c>
      <c r="F51" s="40" t="s">
        <v>104</v>
      </c>
      <c r="G51" s="41">
        <v>2</v>
      </c>
      <c r="H51" s="41">
        <v>2</v>
      </c>
      <c r="I51" s="41">
        <f t="shared" si="1"/>
        <v>0</v>
      </c>
      <c r="J51" s="53" t="s">
        <v>371</v>
      </c>
      <c r="K51" s="43"/>
    </row>
    <row r="52" spans="1:11" ht="12.5" x14ac:dyDescent="0.25">
      <c r="A52" s="47">
        <v>45621</v>
      </c>
      <c r="B52" s="38" t="s">
        <v>54</v>
      </c>
      <c r="C52" s="39" t="s">
        <v>246</v>
      </c>
      <c r="D52" s="38" t="s">
        <v>116</v>
      </c>
      <c r="E52" s="40" t="s">
        <v>66</v>
      </c>
      <c r="F52" s="40" t="s">
        <v>104</v>
      </c>
      <c r="G52" s="41">
        <v>1.5</v>
      </c>
      <c r="H52" s="41">
        <v>1.5</v>
      </c>
      <c r="I52" s="41">
        <f t="shared" si="1"/>
        <v>0</v>
      </c>
      <c r="J52" s="53" t="s">
        <v>371</v>
      </c>
      <c r="K52" s="43"/>
    </row>
    <row r="53" spans="1:11" ht="12.5" x14ac:dyDescent="0.25">
      <c r="A53" s="47">
        <v>45621</v>
      </c>
      <c r="B53" s="38" t="s">
        <v>54</v>
      </c>
      <c r="C53" s="39" t="s">
        <v>246</v>
      </c>
      <c r="D53" s="38" t="s">
        <v>117</v>
      </c>
      <c r="E53" s="40" t="s">
        <v>66</v>
      </c>
      <c r="F53" s="40" t="s">
        <v>104</v>
      </c>
      <c r="G53" s="41">
        <v>1</v>
      </c>
      <c r="H53" s="41">
        <v>1</v>
      </c>
      <c r="I53" s="41">
        <f t="shared" si="1"/>
        <v>0</v>
      </c>
      <c r="J53" s="53" t="s">
        <v>371</v>
      </c>
      <c r="K53" s="43"/>
    </row>
    <row r="54" spans="1:11" ht="12.5" x14ac:dyDescent="0.25">
      <c r="A54" s="47">
        <v>45621</v>
      </c>
      <c r="B54" s="38" t="s">
        <v>54</v>
      </c>
      <c r="C54" s="39" t="s">
        <v>246</v>
      </c>
      <c r="D54" s="38" t="s">
        <v>118</v>
      </c>
      <c r="E54" s="40" t="s">
        <v>55</v>
      </c>
      <c r="F54" s="40" t="s">
        <v>104</v>
      </c>
      <c r="G54" s="41">
        <v>0.5</v>
      </c>
      <c r="H54" s="41">
        <v>0.5</v>
      </c>
      <c r="I54" s="41">
        <f t="shared" si="1"/>
        <v>0</v>
      </c>
      <c r="J54" s="53" t="s">
        <v>375</v>
      </c>
      <c r="K54" s="43"/>
    </row>
    <row r="55" spans="1:11" ht="12.5" x14ac:dyDescent="0.25">
      <c r="A55" s="47">
        <v>45622</v>
      </c>
      <c r="B55" s="38" t="s">
        <v>54</v>
      </c>
      <c r="C55" s="39" t="s">
        <v>197</v>
      </c>
      <c r="D55" s="38" t="s">
        <v>119</v>
      </c>
      <c r="E55" s="40" t="s">
        <v>61</v>
      </c>
      <c r="F55" s="40" t="s">
        <v>86</v>
      </c>
      <c r="G55" s="41">
        <v>0.5</v>
      </c>
      <c r="H55" s="41">
        <v>0.5</v>
      </c>
      <c r="I55" s="41">
        <f t="shared" si="1"/>
        <v>0</v>
      </c>
      <c r="J55" s="45"/>
      <c r="K55" s="43" t="s">
        <v>366</v>
      </c>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383</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372</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377</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372</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372</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45"/>
      <c r="K74" s="43" t="s">
        <v>366</v>
      </c>
    </row>
    <row r="75" spans="1:11" ht="12.5" x14ac:dyDescent="0.25">
      <c r="A75" s="47">
        <v>45625</v>
      </c>
      <c r="B75" s="38" t="s">
        <v>54</v>
      </c>
      <c r="C75" s="39" t="s">
        <v>197</v>
      </c>
      <c r="D75" s="38" t="s">
        <v>147</v>
      </c>
      <c r="E75" s="40" t="s">
        <v>61</v>
      </c>
      <c r="F75" s="40" t="s">
        <v>87</v>
      </c>
      <c r="G75" s="41">
        <v>0.5</v>
      </c>
      <c r="H75" s="41">
        <v>0.5</v>
      </c>
      <c r="I75" s="41">
        <f t="shared" si="1"/>
        <v>0</v>
      </c>
      <c r="J75" s="45"/>
      <c r="K75" s="43" t="s">
        <v>374</v>
      </c>
    </row>
    <row r="76" spans="1:11" ht="12.5" x14ac:dyDescent="0.25">
      <c r="A76" s="47">
        <v>45625</v>
      </c>
      <c r="B76" s="38" t="s">
        <v>54</v>
      </c>
      <c r="C76" s="39" t="s">
        <v>197</v>
      </c>
      <c r="D76" s="38" t="s">
        <v>148</v>
      </c>
      <c r="E76" s="40" t="s">
        <v>61</v>
      </c>
      <c r="F76" s="40" t="s">
        <v>87</v>
      </c>
      <c r="G76" s="41">
        <v>0.5</v>
      </c>
      <c r="H76" s="41">
        <v>0.5</v>
      </c>
      <c r="I76" s="41">
        <f t="shared" si="1"/>
        <v>0</v>
      </c>
      <c r="J76" s="45"/>
      <c r="K76" s="43" t="s">
        <v>366</v>
      </c>
    </row>
    <row r="77" spans="1:11" ht="12.5" x14ac:dyDescent="0.25">
      <c r="A77" s="47">
        <v>45625</v>
      </c>
      <c r="B77" s="38" t="s">
        <v>54</v>
      </c>
      <c r="C77" s="39" t="s">
        <v>79</v>
      </c>
      <c r="D77" s="38" t="s">
        <v>157</v>
      </c>
      <c r="E77" s="40" t="s">
        <v>63</v>
      </c>
      <c r="F77" s="40" t="s">
        <v>86</v>
      </c>
      <c r="G77" s="41">
        <v>0.25</v>
      </c>
      <c r="H77" s="41">
        <v>0.25</v>
      </c>
      <c r="I77" s="41">
        <f t="shared" si="1"/>
        <v>0</v>
      </c>
      <c r="J77" s="45"/>
      <c r="K77" s="43" t="s">
        <v>366</v>
      </c>
    </row>
    <row r="78" spans="1:11" ht="12.5" x14ac:dyDescent="0.25">
      <c r="A78" s="47">
        <v>45625</v>
      </c>
      <c r="B78" s="38" t="s">
        <v>54</v>
      </c>
      <c r="C78" s="39" t="s">
        <v>197</v>
      </c>
      <c r="D78" s="38" t="s">
        <v>141</v>
      </c>
      <c r="E78" s="40" t="s">
        <v>63</v>
      </c>
      <c r="F78" s="40" t="s">
        <v>87</v>
      </c>
      <c r="G78" s="41">
        <v>0.25</v>
      </c>
      <c r="H78" s="41">
        <v>0.15</v>
      </c>
      <c r="I78" s="41">
        <f t="shared" si="1"/>
        <v>-0.1</v>
      </c>
      <c r="J78" s="45"/>
      <c r="K78" s="43" t="s">
        <v>366</v>
      </c>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67" t="s">
        <v>21</v>
      </c>
      <c r="B80" s="63"/>
      <c r="C80" s="63"/>
      <c r="D80" s="63"/>
      <c r="E80" s="63"/>
      <c r="F80" s="63"/>
      <c r="G80" s="63"/>
      <c r="H80" s="63"/>
      <c r="I80" s="63"/>
      <c r="J80" s="63"/>
      <c r="K80" s="64"/>
    </row>
    <row r="81" spans="1:11" ht="12.5" x14ac:dyDescent="0.25">
      <c r="A81" s="21" t="s">
        <v>12</v>
      </c>
      <c r="B81" s="68" t="s">
        <v>13</v>
      </c>
      <c r="C81" s="63"/>
      <c r="D81" s="63"/>
      <c r="E81" s="63"/>
      <c r="F81" s="63"/>
      <c r="G81" s="63"/>
      <c r="H81" s="63"/>
      <c r="I81" s="63"/>
      <c r="J81" s="63"/>
      <c r="K81" s="64"/>
    </row>
    <row r="82" spans="1:11" ht="27.75" customHeight="1" x14ac:dyDescent="0.25">
      <c r="A82" s="22" t="s">
        <v>14</v>
      </c>
      <c r="B82" s="68" t="s">
        <v>15</v>
      </c>
      <c r="C82" s="63"/>
      <c r="D82" s="63"/>
      <c r="E82" s="63"/>
      <c r="F82" s="63"/>
      <c r="G82" s="63"/>
      <c r="H82" s="63"/>
      <c r="I82" s="63"/>
      <c r="J82" s="63"/>
      <c r="K82" s="64"/>
    </row>
    <row r="83" spans="1:11" ht="12.5" x14ac:dyDescent="0.25">
      <c r="A83" s="37">
        <v>45628</v>
      </c>
      <c r="B83" s="38" t="s">
        <v>54</v>
      </c>
      <c r="C83" s="39" t="s">
        <v>79</v>
      </c>
      <c r="D83" s="38" t="s">
        <v>245</v>
      </c>
      <c r="E83" s="40" t="s">
        <v>61</v>
      </c>
      <c r="F83" s="40" t="s">
        <v>86</v>
      </c>
      <c r="G83" s="41">
        <v>0.5</v>
      </c>
      <c r="H83" s="41">
        <v>0.5</v>
      </c>
      <c r="I83" s="41">
        <f t="shared" ref="I83:I113" si="2">H83-G83</f>
        <v>0</v>
      </c>
      <c r="J83" s="45"/>
      <c r="K83" s="43" t="s">
        <v>366</v>
      </c>
    </row>
    <row r="84" spans="1:11" ht="12.5" x14ac:dyDescent="0.25">
      <c r="A84" s="37">
        <v>45628</v>
      </c>
      <c r="B84" s="38" t="s">
        <v>54</v>
      </c>
      <c r="C84" s="39" t="s">
        <v>197</v>
      </c>
      <c r="D84" s="38" t="s">
        <v>149</v>
      </c>
      <c r="E84" s="40" t="s">
        <v>61</v>
      </c>
      <c r="F84" s="40" t="s">
        <v>87</v>
      </c>
      <c r="G84" s="41">
        <v>0.5</v>
      </c>
      <c r="H84" s="41">
        <v>0.5</v>
      </c>
      <c r="I84" s="41">
        <f t="shared" si="2"/>
        <v>0</v>
      </c>
      <c r="J84" s="45"/>
      <c r="K84" s="43" t="s">
        <v>366</v>
      </c>
    </row>
    <row r="85" spans="1:11" ht="12.5" x14ac:dyDescent="0.25">
      <c r="A85" s="37">
        <v>45628</v>
      </c>
      <c r="B85" s="38" t="s">
        <v>54</v>
      </c>
      <c r="C85" s="39" t="s">
        <v>253</v>
      </c>
      <c r="D85" s="38" t="s">
        <v>150</v>
      </c>
      <c r="E85" s="40" t="s">
        <v>66</v>
      </c>
      <c r="F85" s="40" t="s">
        <v>104</v>
      </c>
      <c r="G85" s="41">
        <v>2</v>
      </c>
      <c r="H85" s="41">
        <v>1.5</v>
      </c>
      <c r="I85" s="41">
        <f t="shared" si="2"/>
        <v>-0.5</v>
      </c>
      <c r="J85" s="53" t="s">
        <v>371</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385</v>
      </c>
      <c r="K87" s="43"/>
    </row>
    <row r="88" spans="1:11" ht="12.5" x14ac:dyDescent="0.25">
      <c r="A88" s="37">
        <v>45628</v>
      </c>
      <c r="B88" s="38" t="s">
        <v>54</v>
      </c>
      <c r="C88" s="39" t="s">
        <v>254</v>
      </c>
      <c r="D88" s="38" t="s">
        <v>152</v>
      </c>
      <c r="E88" s="40" t="s">
        <v>66</v>
      </c>
      <c r="F88" s="40" t="s">
        <v>104</v>
      </c>
      <c r="G88" s="41">
        <v>4</v>
      </c>
      <c r="H88" s="41">
        <v>3</v>
      </c>
      <c r="I88" s="41">
        <f t="shared" si="2"/>
        <v>-1</v>
      </c>
      <c r="J88" s="53" t="s">
        <v>371</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386</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45"/>
      <c r="K92" s="43" t="s">
        <v>366</v>
      </c>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372</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379</v>
      </c>
      <c r="K95" s="43"/>
    </row>
    <row r="96" spans="1:11" ht="12.5" x14ac:dyDescent="0.25">
      <c r="A96" s="37">
        <v>45629</v>
      </c>
      <c r="B96" s="38" t="s">
        <v>54</v>
      </c>
      <c r="C96" s="39" t="s">
        <v>250</v>
      </c>
      <c r="D96" s="38" t="s">
        <v>161</v>
      </c>
      <c r="E96" s="40" t="s">
        <v>49</v>
      </c>
      <c r="F96" s="40" t="s">
        <v>104</v>
      </c>
      <c r="G96" s="41">
        <v>2.5</v>
      </c>
      <c r="H96" s="41">
        <v>2</v>
      </c>
      <c r="I96" s="41">
        <f t="shared" si="2"/>
        <v>-0.5</v>
      </c>
      <c r="J96" s="53" t="s">
        <v>372</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387</v>
      </c>
    </row>
    <row r="99" spans="1:11" ht="12.5" x14ac:dyDescent="0.25">
      <c r="A99" s="37">
        <v>45631</v>
      </c>
      <c r="B99" s="38" t="s">
        <v>54</v>
      </c>
      <c r="C99" s="39" t="s">
        <v>258</v>
      </c>
      <c r="D99" s="38" t="s">
        <v>166</v>
      </c>
      <c r="E99" s="40" t="s">
        <v>66</v>
      </c>
      <c r="F99" s="40" t="s">
        <v>104</v>
      </c>
      <c r="G99" s="41">
        <v>1</v>
      </c>
      <c r="H99" s="41">
        <v>1</v>
      </c>
      <c r="I99" s="41">
        <f t="shared" si="2"/>
        <v>0</v>
      </c>
      <c r="J99" s="53" t="s">
        <v>371</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371</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371</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371</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371</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372</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372</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45"/>
      <c r="K109" s="43" t="s">
        <v>366</v>
      </c>
    </row>
    <row r="110" spans="1:11" ht="12.5" x14ac:dyDescent="0.25">
      <c r="A110" s="37">
        <v>45632</v>
      </c>
      <c r="B110" s="38" t="s">
        <v>54</v>
      </c>
      <c r="C110" s="39" t="s">
        <v>197</v>
      </c>
      <c r="D110" s="38" t="s">
        <v>149</v>
      </c>
      <c r="E110" s="40" t="s">
        <v>61</v>
      </c>
      <c r="F110" s="40" t="s">
        <v>87</v>
      </c>
      <c r="G110" s="41">
        <v>0.5</v>
      </c>
      <c r="H110" s="41">
        <v>0.5</v>
      </c>
      <c r="I110" s="41">
        <f t="shared" si="2"/>
        <v>0</v>
      </c>
      <c r="J110" s="45"/>
      <c r="K110" s="43" t="s">
        <v>366</v>
      </c>
    </row>
    <row r="111" spans="1:11" ht="12.5" x14ac:dyDescent="0.25">
      <c r="A111" s="37">
        <v>45632</v>
      </c>
      <c r="B111" s="38" t="s">
        <v>54</v>
      </c>
      <c r="C111" s="39" t="s">
        <v>197</v>
      </c>
      <c r="D111" s="38" t="s">
        <v>175</v>
      </c>
      <c r="E111" s="40" t="s">
        <v>63</v>
      </c>
      <c r="F111" s="40" t="s">
        <v>86</v>
      </c>
      <c r="G111" s="41">
        <v>0.5</v>
      </c>
      <c r="H111" s="41">
        <v>0.25</v>
      </c>
      <c r="I111" s="41">
        <f t="shared" si="2"/>
        <v>-0.25</v>
      </c>
      <c r="J111" s="45"/>
      <c r="K111" s="43" t="s">
        <v>366</v>
      </c>
    </row>
    <row r="112" spans="1:11" ht="12.5" x14ac:dyDescent="0.25">
      <c r="A112" s="37">
        <v>45632</v>
      </c>
      <c r="B112" s="38" t="s">
        <v>54</v>
      </c>
      <c r="C112" s="39" t="s">
        <v>79</v>
      </c>
      <c r="D112" s="38" t="s">
        <v>174</v>
      </c>
      <c r="E112" s="40" t="s">
        <v>63</v>
      </c>
      <c r="F112" s="40" t="s">
        <v>86</v>
      </c>
      <c r="G112" s="41">
        <v>0.5</v>
      </c>
      <c r="H112" s="41">
        <v>0.25</v>
      </c>
      <c r="I112" s="41">
        <f t="shared" si="2"/>
        <v>-0.25</v>
      </c>
      <c r="J112" s="45"/>
      <c r="K112" s="43" t="s">
        <v>366</v>
      </c>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69" t="s">
        <v>22</v>
      </c>
      <c r="B114" s="63"/>
      <c r="C114" s="63"/>
      <c r="D114" s="63"/>
      <c r="E114" s="63"/>
      <c r="F114" s="63"/>
      <c r="G114" s="63"/>
      <c r="H114" s="63"/>
      <c r="I114" s="63"/>
      <c r="J114" s="63"/>
      <c r="K114" s="64"/>
    </row>
    <row r="115" spans="1:11" ht="12.5" x14ac:dyDescent="0.25">
      <c r="A115" s="23" t="s">
        <v>12</v>
      </c>
      <c r="B115" s="71" t="s">
        <v>13</v>
      </c>
      <c r="C115" s="63"/>
      <c r="D115" s="63"/>
      <c r="E115" s="63"/>
      <c r="F115" s="63"/>
      <c r="G115" s="63"/>
      <c r="H115" s="63"/>
      <c r="I115" s="63"/>
      <c r="J115" s="63"/>
      <c r="K115" s="64"/>
    </row>
    <row r="116" spans="1:11" ht="27.75" customHeight="1" x14ac:dyDescent="0.25">
      <c r="A116" s="24" t="s">
        <v>14</v>
      </c>
      <c r="B116" s="71" t="s">
        <v>15</v>
      </c>
      <c r="C116" s="63"/>
      <c r="D116" s="63"/>
      <c r="E116" s="63"/>
      <c r="F116" s="63"/>
      <c r="G116" s="63"/>
      <c r="H116" s="63"/>
      <c r="I116" s="63"/>
      <c r="J116" s="63"/>
      <c r="K116" s="64"/>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45"/>
      <c r="K117" s="43" t="s">
        <v>366</v>
      </c>
    </row>
    <row r="118" spans="1:11" ht="12.5" x14ac:dyDescent="0.25">
      <c r="A118" s="37">
        <v>45635</v>
      </c>
      <c r="B118" s="38" t="s">
        <v>54</v>
      </c>
      <c r="C118" s="39" t="s">
        <v>79</v>
      </c>
      <c r="D118" s="38" t="s">
        <v>245</v>
      </c>
      <c r="E118" s="40" t="s">
        <v>61</v>
      </c>
      <c r="F118" s="40" t="s">
        <v>86</v>
      </c>
      <c r="G118" s="41">
        <v>0.25</v>
      </c>
      <c r="H118" s="41">
        <v>0.25</v>
      </c>
      <c r="I118" s="41">
        <f t="shared" si="3"/>
        <v>0</v>
      </c>
      <c r="J118" s="45"/>
      <c r="K118" s="43" t="s">
        <v>366</v>
      </c>
    </row>
    <row r="119" spans="1:11" ht="12.5" x14ac:dyDescent="0.25">
      <c r="A119" s="37">
        <v>45635</v>
      </c>
      <c r="B119" s="38" t="s">
        <v>54</v>
      </c>
      <c r="C119" s="39" t="s">
        <v>261</v>
      </c>
      <c r="D119" s="38" t="s">
        <v>179</v>
      </c>
      <c r="E119" s="40" t="s">
        <v>66</v>
      </c>
      <c r="F119" s="40" t="s">
        <v>104</v>
      </c>
      <c r="G119" s="41">
        <v>1.5</v>
      </c>
      <c r="H119" s="41">
        <v>1.5</v>
      </c>
      <c r="I119" s="41">
        <f>H119-G119</f>
        <v>0</v>
      </c>
      <c r="J119" s="53" t="s">
        <v>371</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371</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371</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371</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371</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381</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362</v>
      </c>
    </row>
    <row r="127" spans="1:11" ht="12.5" x14ac:dyDescent="0.25">
      <c r="A127" s="37">
        <v>45636</v>
      </c>
      <c r="B127" s="38" t="s">
        <v>54</v>
      </c>
      <c r="C127" s="39" t="s">
        <v>250</v>
      </c>
      <c r="D127" s="38" t="s">
        <v>185</v>
      </c>
      <c r="E127" s="40" t="s">
        <v>49</v>
      </c>
      <c r="F127" s="40" t="s">
        <v>177</v>
      </c>
      <c r="G127" s="41">
        <v>2</v>
      </c>
      <c r="H127" s="41">
        <v>2</v>
      </c>
      <c r="I127" s="41">
        <f t="shared" si="4"/>
        <v>0</v>
      </c>
      <c r="J127" s="53" t="s">
        <v>380</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371</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371</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371</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371</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371</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389</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372</v>
      </c>
      <c r="K137" s="43" t="s">
        <v>388</v>
      </c>
    </row>
    <row r="138" spans="1:11" ht="12.5" x14ac:dyDescent="0.25">
      <c r="A138" s="37">
        <v>45639</v>
      </c>
      <c r="B138" s="38" t="s">
        <v>54</v>
      </c>
      <c r="C138" s="39" t="s">
        <v>79</v>
      </c>
      <c r="D138" s="38" t="s">
        <v>259</v>
      </c>
      <c r="E138" s="40" t="s">
        <v>61</v>
      </c>
      <c r="F138" s="40" t="s">
        <v>86</v>
      </c>
      <c r="G138" s="41">
        <v>0.5</v>
      </c>
      <c r="H138" s="41">
        <v>0.5</v>
      </c>
      <c r="I138" s="41">
        <f t="shared" si="4"/>
        <v>0</v>
      </c>
      <c r="J138" s="45"/>
      <c r="K138" s="43" t="s">
        <v>366</v>
      </c>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390</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390</v>
      </c>
      <c r="K142" s="43"/>
    </row>
    <row r="143" spans="1:11" ht="12.5" x14ac:dyDescent="0.25">
      <c r="A143" s="37">
        <v>45643</v>
      </c>
      <c r="B143" s="38" t="s">
        <v>54</v>
      </c>
      <c r="C143" s="39" t="s">
        <v>197</v>
      </c>
      <c r="D143" s="38" t="s">
        <v>199</v>
      </c>
      <c r="E143" s="40" t="s">
        <v>63</v>
      </c>
      <c r="F143" s="40" t="s">
        <v>87</v>
      </c>
      <c r="G143" s="41">
        <v>0.5</v>
      </c>
      <c r="H143" s="41">
        <v>0.5</v>
      </c>
      <c r="I143" s="41">
        <f t="shared" si="4"/>
        <v>0</v>
      </c>
      <c r="J143" s="45"/>
      <c r="K143" s="43" t="s">
        <v>366</v>
      </c>
    </row>
    <row r="144" spans="1:11" ht="12.5" x14ac:dyDescent="0.25">
      <c r="A144" s="37">
        <v>45643</v>
      </c>
      <c r="B144" s="38" t="s">
        <v>54</v>
      </c>
      <c r="C144" s="39" t="s">
        <v>197</v>
      </c>
      <c r="D144" s="38" t="s">
        <v>326</v>
      </c>
      <c r="E144" s="40" t="s">
        <v>63</v>
      </c>
      <c r="F144" s="40" t="s">
        <v>87</v>
      </c>
      <c r="G144" s="41">
        <v>0.5</v>
      </c>
      <c r="H144" s="41">
        <v>0.25</v>
      </c>
      <c r="I144" s="41">
        <f t="shared" si="4"/>
        <v>-0.25</v>
      </c>
      <c r="J144" s="45"/>
      <c r="K144" s="43" t="s">
        <v>366</v>
      </c>
    </row>
    <row r="145" spans="1:11" ht="12.5" x14ac:dyDescent="0.25">
      <c r="A145" s="37">
        <v>45643</v>
      </c>
      <c r="B145" s="38" t="s">
        <v>54</v>
      </c>
      <c r="C145" s="39" t="s">
        <v>79</v>
      </c>
      <c r="D145" s="38" t="s">
        <v>327</v>
      </c>
      <c r="E145" s="40" t="s">
        <v>63</v>
      </c>
      <c r="F145" s="40" t="s">
        <v>86</v>
      </c>
      <c r="G145" s="41">
        <v>0.5</v>
      </c>
      <c r="H145" s="41">
        <v>0.25</v>
      </c>
      <c r="I145" s="41">
        <f t="shared" si="4"/>
        <v>-0.25</v>
      </c>
      <c r="J145" s="45"/>
      <c r="K145" s="43" t="s">
        <v>366</v>
      </c>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74" t="s">
        <v>23</v>
      </c>
      <c r="B147" s="63"/>
      <c r="C147" s="63"/>
      <c r="D147" s="63"/>
      <c r="E147" s="63"/>
      <c r="F147" s="63"/>
      <c r="G147" s="63"/>
      <c r="H147" s="63"/>
      <c r="I147" s="63"/>
      <c r="J147" s="63"/>
      <c r="K147" s="64"/>
    </row>
    <row r="148" spans="1:11" ht="12.5" x14ac:dyDescent="0.25">
      <c r="A148" s="25" t="s">
        <v>12</v>
      </c>
      <c r="B148" s="75" t="s">
        <v>13</v>
      </c>
      <c r="C148" s="63"/>
      <c r="D148" s="63"/>
      <c r="E148" s="63"/>
      <c r="F148" s="63"/>
      <c r="G148" s="63"/>
      <c r="H148" s="63"/>
      <c r="I148" s="63"/>
      <c r="J148" s="63"/>
      <c r="K148" s="64"/>
    </row>
    <row r="149" spans="1:11" ht="27.75" customHeight="1" x14ac:dyDescent="0.25">
      <c r="A149" s="26" t="s">
        <v>14</v>
      </c>
      <c r="B149" s="75" t="s">
        <v>15</v>
      </c>
      <c r="C149" s="63"/>
      <c r="D149" s="63"/>
      <c r="E149" s="63"/>
      <c r="F149" s="63"/>
      <c r="G149" s="63"/>
      <c r="H149" s="63"/>
      <c r="I149" s="63"/>
      <c r="J149" s="63"/>
      <c r="K149" s="64"/>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45"/>
      <c r="K150" s="43" t="s">
        <v>366</v>
      </c>
    </row>
    <row r="151" spans="1:11" ht="12.5" x14ac:dyDescent="0.25">
      <c r="A151" s="37">
        <v>45642</v>
      </c>
      <c r="B151" s="38" t="s">
        <v>54</v>
      </c>
      <c r="C151" s="39" t="s">
        <v>197</v>
      </c>
      <c r="D151" s="38" t="s">
        <v>202</v>
      </c>
      <c r="E151" s="40" t="s">
        <v>61</v>
      </c>
      <c r="F151" s="40" t="s">
        <v>87</v>
      </c>
      <c r="G151" s="41">
        <v>0.25</v>
      </c>
      <c r="H151" s="41">
        <v>0.25</v>
      </c>
      <c r="I151" s="41">
        <f t="shared" si="5"/>
        <v>0</v>
      </c>
      <c r="J151" s="45"/>
      <c r="K151" s="43" t="s">
        <v>366</v>
      </c>
    </row>
    <row r="152" spans="1:11" ht="12.5" x14ac:dyDescent="0.25">
      <c r="A152" s="37">
        <v>45642</v>
      </c>
      <c r="B152" s="38" t="s">
        <v>54</v>
      </c>
      <c r="C152" s="39" t="s">
        <v>214</v>
      </c>
      <c r="D152" s="38" t="s">
        <v>203</v>
      </c>
      <c r="E152" s="40" t="s">
        <v>55</v>
      </c>
      <c r="F152" s="40" t="s">
        <v>88</v>
      </c>
      <c r="G152" s="41">
        <v>1</v>
      </c>
      <c r="H152" s="41">
        <v>1</v>
      </c>
      <c r="I152" s="41">
        <f t="shared" si="5"/>
        <v>0</v>
      </c>
      <c r="J152" s="53" t="s">
        <v>391</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371</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371</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371</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371</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392</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371</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371</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371</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371</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393</v>
      </c>
      <c r="K166" s="43"/>
    </row>
    <row r="167" spans="1:11" ht="12.5" x14ac:dyDescent="0.25">
      <c r="A167" s="37">
        <v>45643</v>
      </c>
      <c r="B167" s="38" t="s">
        <v>54</v>
      </c>
      <c r="C167" s="39" t="s">
        <v>79</v>
      </c>
      <c r="D167" s="38" t="s">
        <v>224</v>
      </c>
      <c r="E167" s="40" t="s">
        <v>61</v>
      </c>
      <c r="F167" s="40" t="s">
        <v>86</v>
      </c>
      <c r="G167" s="41">
        <v>0.25</v>
      </c>
      <c r="H167" s="41">
        <v>0.25</v>
      </c>
      <c r="I167" s="41">
        <f t="shared" si="5"/>
        <v>0</v>
      </c>
      <c r="J167" s="45"/>
      <c r="K167" s="43" t="s">
        <v>366</v>
      </c>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45"/>
      <c r="K169" s="43" t="s">
        <v>366</v>
      </c>
    </row>
    <row r="170" spans="1:11" ht="12.5" x14ac:dyDescent="0.25">
      <c r="A170" s="37">
        <v>45643</v>
      </c>
      <c r="B170" s="38" t="s">
        <v>54</v>
      </c>
      <c r="C170" s="39" t="s">
        <v>227</v>
      </c>
      <c r="D170" s="38" t="s">
        <v>228</v>
      </c>
      <c r="E170" s="40" t="s">
        <v>66</v>
      </c>
      <c r="F170" s="40" t="s">
        <v>104</v>
      </c>
      <c r="G170" s="41">
        <v>0.5</v>
      </c>
      <c r="H170" s="41">
        <v>0.5</v>
      </c>
      <c r="I170" s="41">
        <f t="shared" si="5"/>
        <v>0</v>
      </c>
      <c r="J170" s="53" t="s">
        <v>394</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394</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372</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372</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395</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45"/>
      <c r="K177" s="43" t="s">
        <v>366</v>
      </c>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396</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397</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372</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372</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372</v>
      </c>
      <c r="K184" s="43"/>
    </row>
    <row r="185" spans="1:11" ht="12.5" x14ac:dyDescent="0.25">
      <c r="A185" s="37">
        <v>45646</v>
      </c>
      <c r="B185" s="38" t="s">
        <v>54</v>
      </c>
      <c r="C185" s="39" t="s">
        <v>79</v>
      </c>
      <c r="D185" s="38" t="s">
        <v>280</v>
      </c>
      <c r="E185" s="40" t="s">
        <v>63</v>
      </c>
      <c r="F185" s="40" t="s">
        <v>86</v>
      </c>
      <c r="G185" s="41">
        <v>0.25</v>
      </c>
      <c r="H185" s="41">
        <v>0.15</v>
      </c>
      <c r="I185" s="41">
        <f t="shared" si="5"/>
        <v>-0.1</v>
      </c>
      <c r="J185" s="45"/>
      <c r="K185" s="43" t="s">
        <v>366</v>
      </c>
    </row>
    <row r="186" spans="1:11" ht="12.5" x14ac:dyDescent="0.25">
      <c r="A186" s="37">
        <v>45646</v>
      </c>
      <c r="B186" s="38" t="s">
        <v>54</v>
      </c>
      <c r="C186" s="39" t="s">
        <v>197</v>
      </c>
      <c r="D186" s="38" t="s">
        <v>281</v>
      </c>
      <c r="E186" s="40" t="s">
        <v>63</v>
      </c>
      <c r="F186" s="40" t="s">
        <v>87</v>
      </c>
      <c r="G186" s="41">
        <v>0.25</v>
      </c>
      <c r="H186" s="41">
        <v>0.25</v>
      </c>
      <c r="I186" s="41">
        <f t="shared" si="5"/>
        <v>0</v>
      </c>
      <c r="J186" s="45"/>
      <c r="K186" s="43" t="s">
        <v>366</v>
      </c>
    </row>
    <row r="187" spans="1:11" ht="12.5" x14ac:dyDescent="0.25">
      <c r="A187" s="37">
        <v>45646</v>
      </c>
      <c r="B187" s="38" t="s">
        <v>54</v>
      </c>
      <c r="C187" s="39" t="s">
        <v>79</v>
      </c>
      <c r="D187" s="38" t="s">
        <v>283</v>
      </c>
      <c r="E187" s="40" t="s">
        <v>63</v>
      </c>
      <c r="F187" s="40" t="s">
        <v>86</v>
      </c>
      <c r="G187" s="41">
        <v>0.25</v>
      </c>
      <c r="H187" s="41">
        <v>0.25</v>
      </c>
      <c r="I187" s="41">
        <f t="shared" si="5"/>
        <v>0</v>
      </c>
      <c r="J187" s="45"/>
      <c r="K187" s="43" t="s">
        <v>366</v>
      </c>
    </row>
    <row r="188" spans="1:11" ht="12.5" x14ac:dyDescent="0.25">
      <c r="A188" s="37">
        <v>45646</v>
      </c>
      <c r="B188" s="38" t="s">
        <v>54</v>
      </c>
      <c r="C188" s="39" t="s">
        <v>197</v>
      </c>
      <c r="D188" s="38" t="s">
        <v>282</v>
      </c>
      <c r="E188" s="40" t="s">
        <v>63</v>
      </c>
      <c r="F188" s="40" t="s">
        <v>87</v>
      </c>
      <c r="G188" s="41">
        <v>0.25</v>
      </c>
      <c r="H188" s="41">
        <v>0.25</v>
      </c>
      <c r="I188" s="41">
        <f t="shared" si="5"/>
        <v>0</v>
      </c>
      <c r="J188" s="45"/>
      <c r="K188" s="43" t="s">
        <v>366</v>
      </c>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76" t="s">
        <v>24</v>
      </c>
      <c r="B190" s="63"/>
      <c r="C190" s="63"/>
      <c r="D190" s="63"/>
      <c r="E190" s="63"/>
      <c r="F190" s="63"/>
      <c r="G190" s="63"/>
      <c r="H190" s="63"/>
      <c r="I190" s="63"/>
      <c r="J190" s="63"/>
      <c r="K190" s="64"/>
    </row>
    <row r="191" spans="1:11" ht="12.5" x14ac:dyDescent="0.25">
      <c r="A191" s="27" t="s">
        <v>12</v>
      </c>
      <c r="B191" s="72" t="s">
        <v>13</v>
      </c>
      <c r="C191" s="63"/>
      <c r="D191" s="63"/>
      <c r="E191" s="63"/>
      <c r="F191" s="63"/>
      <c r="G191" s="63"/>
      <c r="H191" s="63"/>
      <c r="I191" s="63"/>
      <c r="J191" s="63"/>
      <c r="K191" s="64"/>
    </row>
    <row r="192" spans="1:11" ht="27.75" customHeight="1" x14ac:dyDescent="0.25">
      <c r="A192" s="28" t="s">
        <v>14</v>
      </c>
      <c r="B192" s="72" t="s">
        <v>15</v>
      </c>
      <c r="C192" s="63"/>
      <c r="D192" s="63"/>
      <c r="E192" s="63"/>
      <c r="F192" s="63"/>
      <c r="G192" s="63"/>
      <c r="H192" s="63"/>
      <c r="I192" s="63"/>
      <c r="J192" s="63"/>
      <c r="K192" s="64"/>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45"/>
      <c r="K193" s="43" t="s">
        <v>366</v>
      </c>
    </row>
    <row r="194" spans="1:11" ht="12.5" x14ac:dyDescent="0.25">
      <c r="A194" s="37">
        <v>45663</v>
      </c>
      <c r="B194" s="38" t="s">
        <v>54</v>
      </c>
      <c r="C194" s="39" t="s">
        <v>197</v>
      </c>
      <c r="D194" s="38" t="s">
        <v>297</v>
      </c>
      <c r="E194" s="40" t="s">
        <v>61</v>
      </c>
      <c r="F194" s="40" t="s">
        <v>87</v>
      </c>
      <c r="G194" s="41">
        <v>0.25</v>
      </c>
      <c r="H194" s="41">
        <v>0.25</v>
      </c>
      <c r="I194" s="41">
        <f t="shared" si="6"/>
        <v>0</v>
      </c>
      <c r="J194" s="45"/>
      <c r="K194" s="43" t="s">
        <v>366</v>
      </c>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398</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399</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372</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372</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403</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401</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402</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400</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45"/>
      <c r="K209" s="43" t="s">
        <v>366</v>
      </c>
    </row>
    <row r="210" spans="1:11" ht="12.5" x14ac:dyDescent="0.25">
      <c r="A210" s="37">
        <v>45676</v>
      </c>
      <c r="B210" s="38" t="s">
        <v>54</v>
      </c>
      <c r="C210" s="39" t="s">
        <v>197</v>
      </c>
      <c r="D210" s="38" t="s">
        <v>329</v>
      </c>
      <c r="E210" s="40" t="s">
        <v>63</v>
      </c>
      <c r="F210" s="40" t="s">
        <v>87</v>
      </c>
      <c r="G210" s="41">
        <v>0.25</v>
      </c>
      <c r="H210" s="41">
        <v>0.25</v>
      </c>
      <c r="I210" s="41">
        <f t="shared" si="6"/>
        <v>0</v>
      </c>
      <c r="J210" s="45"/>
      <c r="K210" s="43" t="s">
        <v>366</v>
      </c>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73" t="s">
        <v>25</v>
      </c>
      <c r="B212" s="63"/>
      <c r="C212" s="63"/>
      <c r="D212" s="63"/>
      <c r="E212" s="63"/>
      <c r="F212" s="63"/>
      <c r="G212" s="63"/>
      <c r="H212" s="63"/>
      <c r="I212" s="63"/>
      <c r="J212" s="63"/>
      <c r="K212" s="64"/>
    </row>
    <row r="213" spans="1:11" ht="12.5" x14ac:dyDescent="0.25">
      <c r="A213" s="29" t="s">
        <v>12</v>
      </c>
      <c r="B213" s="70" t="s">
        <v>13</v>
      </c>
      <c r="C213" s="63"/>
      <c r="D213" s="63"/>
      <c r="E213" s="63"/>
      <c r="F213" s="63"/>
      <c r="G213" s="63"/>
      <c r="H213" s="63"/>
      <c r="I213" s="63"/>
      <c r="J213" s="63"/>
      <c r="K213" s="64"/>
    </row>
    <row r="214" spans="1:11" ht="28.5" customHeight="1" x14ac:dyDescent="0.25">
      <c r="A214" s="30" t="s">
        <v>14</v>
      </c>
      <c r="B214" s="70" t="s">
        <v>15</v>
      </c>
      <c r="C214" s="63"/>
      <c r="D214" s="63"/>
      <c r="E214" s="63"/>
      <c r="F214" s="63"/>
      <c r="G214" s="63"/>
      <c r="H214" s="63"/>
      <c r="I214" s="63"/>
      <c r="J214" s="63"/>
      <c r="K214" s="64"/>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45"/>
      <c r="K215" s="43" t="s">
        <v>366</v>
      </c>
    </row>
    <row r="216" spans="1:11" ht="12.5" x14ac:dyDescent="0.25">
      <c r="A216" s="37">
        <v>45670</v>
      </c>
      <c r="B216" s="38" t="s">
        <v>54</v>
      </c>
      <c r="C216" s="39" t="s">
        <v>197</v>
      </c>
      <c r="D216" s="38" t="s">
        <v>296</v>
      </c>
      <c r="E216" s="40" t="s">
        <v>61</v>
      </c>
      <c r="F216" s="40" t="s">
        <v>87</v>
      </c>
      <c r="G216" s="41">
        <v>0.25</v>
      </c>
      <c r="H216" s="41">
        <v>0.25</v>
      </c>
      <c r="I216" s="41">
        <f t="shared" si="7"/>
        <v>0</v>
      </c>
      <c r="J216" s="45"/>
      <c r="K216" s="43" t="s">
        <v>366</v>
      </c>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45"/>
      <c r="K221" s="43" t="s">
        <v>366</v>
      </c>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404</v>
      </c>
      <c r="E223" s="40" t="s">
        <v>63</v>
      </c>
      <c r="F223" s="40" t="s">
        <v>86</v>
      </c>
      <c r="G223" s="41">
        <v>0.25</v>
      </c>
      <c r="H223" s="41">
        <v>0.25</v>
      </c>
      <c r="I223" s="41">
        <f t="shared" si="7"/>
        <v>0</v>
      </c>
      <c r="J223" s="80" t="s">
        <v>405</v>
      </c>
    </row>
    <row r="224" spans="1:11" ht="12.5" x14ac:dyDescent="0.25">
      <c r="A224" s="37">
        <v>45673</v>
      </c>
      <c r="B224" s="38" t="s">
        <v>54</v>
      </c>
      <c r="C224" s="39" t="s">
        <v>333</v>
      </c>
      <c r="D224" s="38" t="s">
        <v>320</v>
      </c>
      <c r="E224" s="40" t="s">
        <v>49</v>
      </c>
      <c r="F224" s="40" t="s">
        <v>177</v>
      </c>
      <c r="G224" s="41">
        <v>3</v>
      </c>
      <c r="H224" s="41">
        <v>3</v>
      </c>
      <c r="I224" s="41">
        <f t="shared" si="7"/>
        <v>0</v>
      </c>
      <c r="J224" s="80" t="s">
        <v>372</v>
      </c>
    </row>
    <row r="225" spans="1:11" ht="12.5" x14ac:dyDescent="0.25">
      <c r="A225" s="37">
        <v>45673</v>
      </c>
      <c r="B225" s="38" t="s">
        <v>54</v>
      </c>
      <c r="C225" s="39" t="s">
        <v>333</v>
      </c>
      <c r="D225" s="38" t="s">
        <v>322</v>
      </c>
      <c r="E225" s="40" t="s">
        <v>64</v>
      </c>
      <c r="F225" s="40" t="s">
        <v>177</v>
      </c>
      <c r="G225" s="41">
        <v>1</v>
      </c>
      <c r="H225" s="41">
        <v>1</v>
      </c>
      <c r="I225" s="41">
        <f t="shared" si="7"/>
        <v>0</v>
      </c>
      <c r="J225" s="80" t="s">
        <v>372</v>
      </c>
    </row>
    <row r="226" spans="1:11" ht="12.5" x14ac:dyDescent="0.25">
      <c r="A226" s="37">
        <v>45674</v>
      </c>
      <c r="B226" s="38" t="s">
        <v>54</v>
      </c>
      <c r="C226" s="39" t="s">
        <v>79</v>
      </c>
      <c r="D226" s="38" t="s">
        <v>323</v>
      </c>
      <c r="E226" s="40" t="s">
        <v>61</v>
      </c>
      <c r="F226" s="40" t="s">
        <v>86</v>
      </c>
      <c r="G226" s="41">
        <v>0.25</v>
      </c>
      <c r="H226" s="41">
        <v>0.25</v>
      </c>
      <c r="I226" s="41">
        <f t="shared" si="7"/>
        <v>0</v>
      </c>
      <c r="J226" s="45"/>
      <c r="K226" s="43" t="s">
        <v>366</v>
      </c>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80" t="s">
        <v>405</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406</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407</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45"/>
      <c r="K232" s="43" t="s">
        <v>366</v>
      </c>
    </row>
    <row r="233" spans="1:11" ht="12.5" x14ac:dyDescent="0.25">
      <c r="A233" s="37">
        <v>45676</v>
      </c>
      <c r="B233" s="38" t="s">
        <v>54</v>
      </c>
      <c r="C233" s="39" t="s">
        <v>197</v>
      </c>
      <c r="D233" s="38" t="s">
        <v>334</v>
      </c>
      <c r="E233" s="40" t="s">
        <v>63</v>
      </c>
      <c r="F233" s="40" t="s">
        <v>87</v>
      </c>
      <c r="G233" s="41">
        <v>0.25</v>
      </c>
      <c r="H233" s="41">
        <v>0.25</v>
      </c>
      <c r="I233" s="41">
        <f t="shared" si="7"/>
        <v>0</v>
      </c>
      <c r="J233" s="45"/>
      <c r="K233" s="43" t="s">
        <v>366</v>
      </c>
    </row>
    <row r="234" spans="1:11" ht="12.5" x14ac:dyDescent="0.25">
      <c r="A234" s="37">
        <v>45676</v>
      </c>
      <c r="B234" s="38" t="s">
        <v>54</v>
      </c>
      <c r="C234" s="39" t="s">
        <v>79</v>
      </c>
      <c r="D234" s="38" t="s">
        <v>335</v>
      </c>
      <c r="E234" s="40" t="s">
        <v>63</v>
      </c>
      <c r="F234" s="40" t="s">
        <v>86</v>
      </c>
      <c r="G234" s="41">
        <v>0.25</v>
      </c>
      <c r="H234" s="41">
        <v>0.1</v>
      </c>
      <c r="I234" s="41">
        <f t="shared" si="7"/>
        <v>-0.15</v>
      </c>
      <c r="J234" s="45"/>
      <c r="K234" s="43" t="s">
        <v>366</v>
      </c>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55" t="s">
        <v>26</v>
      </c>
      <c r="B236" s="56"/>
      <c r="C236" s="56"/>
      <c r="D236" s="56"/>
      <c r="E236" s="56"/>
      <c r="F236" s="56"/>
      <c r="G236" s="56"/>
      <c r="H236" s="56"/>
      <c r="I236" s="56"/>
      <c r="J236" s="56"/>
      <c r="K236" s="57"/>
    </row>
    <row r="237" spans="1:11" ht="12.5" x14ac:dyDescent="0.25">
      <c r="A237" s="32" t="s">
        <v>12</v>
      </c>
      <c r="B237" s="58" t="s">
        <v>13</v>
      </c>
      <c r="C237" s="56"/>
      <c r="D237" s="56"/>
      <c r="E237" s="56"/>
      <c r="F237" s="56"/>
      <c r="G237" s="56"/>
      <c r="H237" s="56"/>
      <c r="I237" s="56"/>
      <c r="J237" s="56"/>
      <c r="K237" s="57"/>
    </row>
    <row r="238" spans="1:11" ht="28.5" customHeight="1" x14ac:dyDescent="0.25">
      <c r="A238" s="33" t="s">
        <v>14</v>
      </c>
      <c r="B238" s="58" t="s">
        <v>15</v>
      </c>
      <c r="C238" s="56"/>
      <c r="D238" s="56"/>
      <c r="E238" s="56"/>
      <c r="F238" s="56"/>
      <c r="G238" s="56"/>
      <c r="H238" s="56"/>
      <c r="I238" s="56"/>
      <c r="J238" s="56"/>
      <c r="K238" s="57"/>
    </row>
    <row r="239" spans="1:11" ht="12.5" x14ac:dyDescent="0.25">
      <c r="A239" s="37">
        <v>45677</v>
      </c>
      <c r="B239" s="38" t="s">
        <v>54</v>
      </c>
      <c r="C239" s="39" t="s">
        <v>315</v>
      </c>
      <c r="D239" s="38" t="s">
        <v>340</v>
      </c>
      <c r="E239" s="40" t="s">
        <v>63</v>
      </c>
      <c r="F239" s="40" t="s">
        <v>86</v>
      </c>
      <c r="G239" s="41">
        <v>0.5</v>
      </c>
      <c r="H239" s="41">
        <v>0.5</v>
      </c>
      <c r="I239" s="41">
        <f t="shared" ref="I239:I261" si="8">H239-G239</f>
        <v>0</v>
      </c>
      <c r="J239" s="80" t="s">
        <v>405</v>
      </c>
      <c r="K239" s="43"/>
    </row>
    <row r="240" spans="1:11" ht="12.5" x14ac:dyDescent="0.25">
      <c r="A240" s="37">
        <v>45677</v>
      </c>
      <c r="B240" s="38" t="s">
        <v>54</v>
      </c>
      <c r="C240" s="39" t="s">
        <v>315</v>
      </c>
      <c r="D240" s="38" t="s">
        <v>341</v>
      </c>
      <c r="E240" s="40" t="s">
        <v>63</v>
      </c>
      <c r="F240" s="40" t="s">
        <v>86</v>
      </c>
      <c r="G240" s="41">
        <v>0.1</v>
      </c>
      <c r="H240" s="41">
        <v>0.1</v>
      </c>
      <c r="I240" s="41">
        <f t="shared" si="8"/>
        <v>0</v>
      </c>
      <c r="J240" s="45"/>
      <c r="K240" s="43"/>
    </row>
    <row r="241" spans="1:11" ht="12.5" x14ac:dyDescent="0.25">
      <c r="A241" s="37">
        <v>45677</v>
      </c>
      <c r="B241" s="38" t="s">
        <v>54</v>
      </c>
      <c r="C241" s="39" t="s">
        <v>345</v>
      </c>
      <c r="D241" s="38" t="s">
        <v>342</v>
      </c>
      <c r="E241" s="40" t="s">
        <v>43</v>
      </c>
      <c r="F241" s="40" t="s">
        <v>348</v>
      </c>
      <c r="G241" s="41">
        <v>0.5</v>
      </c>
      <c r="H241" s="41">
        <v>0.5</v>
      </c>
      <c r="I241" s="41">
        <f t="shared" si="8"/>
        <v>0</v>
      </c>
      <c r="J241" s="45"/>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45"/>
      <c r="K243" s="43"/>
    </row>
    <row r="244" spans="1:11" ht="12.5" x14ac:dyDescent="0.25">
      <c r="A244" s="37">
        <v>45678</v>
      </c>
      <c r="B244" s="38" t="s">
        <v>54</v>
      </c>
      <c r="C244" s="39" t="s">
        <v>79</v>
      </c>
      <c r="D244" s="38" t="s">
        <v>343</v>
      </c>
      <c r="E244" s="40" t="s">
        <v>61</v>
      </c>
      <c r="F244" s="40" t="s">
        <v>86</v>
      </c>
      <c r="G244" s="41">
        <v>0.15</v>
      </c>
      <c r="H244" s="41">
        <v>0.15</v>
      </c>
      <c r="I244" s="41">
        <f t="shared" si="8"/>
        <v>0</v>
      </c>
      <c r="J244" s="45"/>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45"/>
      <c r="K246" s="43"/>
    </row>
    <row r="247" spans="1:11" ht="12.5" x14ac:dyDescent="0.25">
      <c r="A247" s="37">
        <v>45678</v>
      </c>
      <c r="B247" s="38" t="s">
        <v>54</v>
      </c>
      <c r="C247" s="39" t="s">
        <v>227</v>
      </c>
      <c r="D247" s="38" t="s">
        <v>347</v>
      </c>
      <c r="E247" s="40" t="s">
        <v>49</v>
      </c>
      <c r="F247" s="40" t="s">
        <v>104</v>
      </c>
      <c r="G247" s="41">
        <v>4</v>
      </c>
      <c r="H247" s="41">
        <v>4.25</v>
      </c>
      <c r="I247" s="41">
        <f t="shared" si="8"/>
        <v>0.25</v>
      </c>
      <c r="J247" s="45"/>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45"/>
      <c r="K248" s="43"/>
    </row>
    <row r="249" spans="1:11" ht="12.5" x14ac:dyDescent="0.25">
      <c r="A249" s="37">
        <v>45679</v>
      </c>
      <c r="B249" s="38" t="s">
        <v>54</v>
      </c>
      <c r="C249" s="39" t="s">
        <v>333</v>
      </c>
      <c r="D249" s="38" t="s">
        <v>363</v>
      </c>
      <c r="E249" s="40" t="s">
        <v>49</v>
      </c>
      <c r="F249" s="40" t="s">
        <v>104</v>
      </c>
      <c r="G249" s="41">
        <v>2</v>
      </c>
      <c r="H249" s="41">
        <v>2</v>
      </c>
      <c r="I249" s="41">
        <f t="shared" si="8"/>
        <v>0</v>
      </c>
      <c r="J249" s="45"/>
      <c r="K249" s="43"/>
    </row>
    <row r="250" spans="1:11" ht="12.5" x14ac:dyDescent="0.25">
      <c r="A250" s="37">
        <v>45679</v>
      </c>
      <c r="B250" s="38" t="s">
        <v>54</v>
      </c>
      <c r="C250" s="39" t="s">
        <v>227</v>
      </c>
      <c r="D250" s="38" t="s">
        <v>364</v>
      </c>
      <c r="E250" s="40" t="s">
        <v>63</v>
      </c>
      <c r="F250" s="40" t="s">
        <v>348</v>
      </c>
      <c r="G250" s="41">
        <v>2</v>
      </c>
      <c r="H250" s="41">
        <v>2</v>
      </c>
      <c r="I250" s="41">
        <f t="shared" si="8"/>
        <v>0</v>
      </c>
      <c r="J250" s="45"/>
      <c r="K250" s="43"/>
    </row>
    <row r="251" spans="1:11" ht="12.5" x14ac:dyDescent="0.25">
      <c r="A251" s="37">
        <v>45680</v>
      </c>
      <c r="B251" s="38" t="s">
        <v>54</v>
      </c>
      <c r="C251" s="39" t="s">
        <v>227</v>
      </c>
      <c r="D251" s="38" t="s">
        <v>355</v>
      </c>
      <c r="E251" s="40" t="s">
        <v>49</v>
      </c>
      <c r="F251" s="40" t="s">
        <v>88</v>
      </c>
      <c r="G251" s="41">
        <v>1</v>
      </c>
      <c r="H251" s="41">
        <v>1</v>
      </c>
      <c r="I251" s="41">
        <f t="shared" si="8"/>
        <v>0</v>
      </c>
      <c r="J251" s="45"/>
      <c r="K251" s="43"/>
    </row>
    <row r="252" spans="1:11" ht="12.5" x14ac:dyDescent="0.25">
      <c r="A252" s="37">
        <v>45680</v>
      </c>
      <c r="B252" s="38" t="s">
        <v>54</v>
      </c>
      <c r="C252" s="39" t="s">
        <v>333</v>
      </c>
      <c r="D252" s="38" t="s">
        <v>356</v>
      </c>
      <c r="E252" s="40" t="s">
        <v>49</v>
      </c>
      <c r="F252" s="40" t="s">
        <v>104</v>
      </c>
      <c r="G252" s="41">
        <v>2</v>
      </c>
      <c r="H252" s="41">
        <v>2</v>
      </c>
      <c r="I252" s="41">
        <f t="shared" si="8"/>
        <v>0</v>
      </c>
      <c r="J252" s="45"/>
      <c r="K252" s="43"/>
    </row>
    <row r="253" spans="1:11" ht="12.5" x14ac:dyDescent="0.25">
      <c r="A253" s="37">
        <v>45680</v>
      </c>
      <c r="B253" s="38" t="s">
        <v>54</v>
      </c>
      <c r="C253" s="39" t="s">
        <v>227</v>
      </c>
      <c r="D253" s="38" t="s">
        <v>357</v>
      </c>
      <c r="E253" s="40" t="s">
        <v>63</v>
      </c>
      <c r="F253" s="40" t="s">
        <v>348</v>
      </c>
      <c r="G253" s="41">
        <v>4</v>
      </c>
      <c r="H253" s="41">
        <v>4</v>
      </c>
      <c r="I253" s="41">
        <f t="shared" si="8"/>
        <v>0</v>
      </c>
      <c r="J253" s="45"/>
      <c r="K253" s="43"/>
    </row>
    <row r="254" spans="1:11" ht="12.5" x14ac:dyDescent="0.25">
      <c r="A254" s="37">
        <v>45680</v>
      </c>
      <c r="B254" s="38" t="s">
        <v>51</v>
      </c>
      <c r="C254" s="39" t="s">
        <v>315</v>
      </c>
      <c r="D254" s="38" t="s">
        <v>408</v>
      </c>
      <c r="E254" s="40" t="s">
        <v>63</v>
      </c>
      <c r="F254" s="40" t="s">
        <v>86</v>
      </c>
      <c r="G254" s="41">
        <v>0.25</v>
      </c>
      <c r="H254" s="41"/>
      <c r="I254" s="41">
        <f t="shared" si="8"/>
        <v>-0.25</v>
      </c>
      <c r="J254" s="45"/>
      <c r="K254" s="43"/>
    </row>
    <row r="255" spans="1:11" ht="12.5" x14ac:dyDescent="0.25">
      <c r="A255" s="37">
        <v>45680</v>
      </c>
      <c r="B255" s="38" t="s">
        <v>51</v>
      </c>
      <c r="C255" s="39" t="s">
        <v>79</v>
      </c>
      <c r="D255" s="38" t="s">
        <v>358</v>
      </c>
      <c r="E255" s="40" t="s">
        <v>63</v>
      </c>
      <c r="F255" s="40" t="s">
        <v>86</v>
      </c>
      <c r="G255" s="41">
        <v>1</v>
      </c>
      <c r="H255" s="41"/>
      <c r="I255" s="41">
        <f t="shared" si="8"/>
        <v>-1</v>
      </c>
      <c r="J255" s="45"/>
      <c r="K255" s="43"/>
    </row>
    <row r="256" spans="1:11" ht="12.5" x14ac:dyDescent="0.25">
      <c r="A256" s="37">
        <v>45680</v>
      </c>
      <c r="B256" s="38" t="s">
        <v>51</v>
      </c>
      <c r="C256" s="39" t="s">
        <v>197</v>
      </c>
      <c r="D256" s="38" t="s">
        <v>359</v>
      </c>
      <c r="E256" s="40" t="s">
        <v>63</v>
      </c>
      <c r="F256" s="40" t="s">
        <v>87</v>
      </c>
      <c r="G256" s="41">
        <v>1</v>
      </c>
      <c r="H256" s="41"/>
      <c r="I256" s="41">
        <f t="shared" si="8"/>
        <v>-1</v>
      </c>
      <c r="J256" s="45"/>
      <c r="K256" s="43"/>
    </row>
    <row r="257" spans="1:11" ht="12.5" x14ac:dyDescent="0.25">
      <c r="A257" s="37">
        <v>45680</v>
      </c>
      <c r="B257" s="38" t="s">
        <v>42</v>
      </c>
      <c r="C257" s="39" t="s">
        <v>361</v>
      </c>
      <c r="D257" s="38" t="s">
        <v>360</v>
      </c>
      <c r="E257" s="40" t="s">
        <v>63</v>
      </c>
      <c r="F257" s="40" t="s">
        <v>87</v>
      </c>
      <c r="G257" s="41">
        <v>0.5</v>
      </c>
      <c r="H257" s="41"/>
      <c r="I257" s="41">
        <f t="shared" si="8"/>
        <v>-0.5</v>
      </c>
      <c r="J257" s="45"/>
      <c r="K257" s="43"/>
    </row>
    <row r="258" spans="1:11" ht="12.5" x14ac:dyDescent="0.25">
      <c r="A258" s="37">
        <v>45680</v>
      </c>
      <c r="B258" s="38" t="s">
        <v>42</v>
      </c>
      <c r="C258" s="39" t="s">
        <v>345</v>
      </c>
      <c r="D258" s="38" t="s">
        <v>354</v>
      </c>
      <c r="E258" s="40" t="s">
        <v>43</v>
      </c>
      <c r="F258" s="40" t="s">
        <v>348</v>
      </c>
      <c r="G258" s="41">
        <v>2</v>
      </c>
      <c r="H258" s="41"/>
      <c r="I258" s="41">
        <f t="shared" si="8"/>
        <v>-2</v>
      </c>
      <c r="J258" s="45"/>
      <c r="K258" s="43"/>
    </row>
    <row r="259" spans="1:11" ht="12.5" x14ac:dyDescent="0.25">
      <c r="A259" s="37"/>
      <c r="B259" s="38"/>
      <c r="C259" s="39" t="s">
        <v>17</v>
      </c>
      <c r="D259" s="38"/>
      <c r="E259" s="40"/>
      <c r="F259" s="40"/>
      <c r="G259" s="41"/>
      <c r="H259" s="41"/>
      <c r="I259" s="41">
        <f t="shared" si="8"/>
        <v>0</v>
      </c>
      <c r="J259" s="45"/>
      <c r="K259" s="43"/>
    </row>
    <row r="260" spans="1:11" ht="12.5" x14ac:dyDescent="0.25">
      <c r="A260" s="37"/>
      <c r="B260" s="38"/>
      <c r="C260" s="39" t="s">
        <v>17</v>
      </c>
      <c r="D260" s="38"/>
      <c r="E260" s="40"/>
      <c r="F260" s="40"/>
      <c r="G260" s="41"/>
      <c r="H260" s="41"/>
      <c r="I260" s="41">
        <f t="shared" si="8"/>
        <v>0</v>
      </c>
      <c r="J260" s="45"/>
      <c r="K260" s="43"/>
    </row>
    <row r="261" spans="1:11" ht="12.5" x14ac:dyDescent="0.25">
      <c r="A261" s="48"/>
      <c r="B261" s="49"/>
      <c r="C261" s="49"/>
      <c r="D261" s="49"/>
      <c r="E261" s="49" t="s">
        <v>18</v>
      </c>
      <c r="F261" s="49"/>
      <c r="G261" s="50">
        <f t="shared" ref="G261:H261" si="9">SUM(G239:G260)</f>
        <v>26.25</v>
      </c>
      <c r="H261" s="50">
        <f t="shared" si="9"/>
        <v>21.75</v>
      </c>
      <c r="I261" s="50">
        <f t="shared" si="8"/>
        <v>-4.5</v>
      </c>
      <c r="J261" s="51"/>
      <c r="K261" s="52"/>
    </row>
    <row r="262" spans="1:11" ht="15" customHeight="1" x14ac:dyDescent="0.25">
      <c r="E262" s="40"/>
    </row>
    <row r="263" spans="1:11" ht="15" customHeight="1" x14ac:dyDescent="0.3">
      <c r="G263" s="38" t="s">
        <v>18</v>
      </c>
      <c r="H263" s="54">
        <f>H44+H79+H113+H146+H189+H211+H235+H261</f>
        <v>249.33999999999997</v>
      </c>
    </row>
  </sheetData>
  <autoFilter ref="A1:K44" xr:uid="{00000000-0009-0000-0000-000000000000}"/>
  <customSheetViews>
    <customSheetView guid="{8BAC9A6B-5D32-4E8D-967D-E17D357516F8}" filter="1" showAutoFilter="1">
      <pageMargins left="0" right="0" top="0" bottom="0" header="0" footer="0"/>
      <autoFilter ref="A1:K15" xr:uid="{4EFFB633-5705-4017-A0AB-5A9CD769A4BF}">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91:K191"/>
    <mergeCell ref="B192:K192"/>
    <mergeCell ref="A212:K212"/>
    <mergeCell ref="B116:K116"/>
    <mergeCell ref="A147:K147"/>
    <mergeCell ref="B148:K148"/>
    <mergeCell ref="B149:K149"/>
    <mergeCell ref="A190:K190"/>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s>
  <conditionalFormatting sqref="B5:B43 B46:B78 B83:B112 B117:B145 B215:B234 B150:B188 B193:B210 B239:B260">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213:B235 B148:B189 B191:B211 B237:B261">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215:G235 G150:G189 G193:G211 G239:G261">
    <cfRule type="cellIs" dxfId="3" priority="15" operator="greaterThan">
      <formula>4</formula>
    </cfRule>
  </conditionalFormatting>
  <conditionalFormatting sqref="H1:H261">
    <cfRule type="containsBlanks" dxfId="2" priority="16">
      <formula>LEN(TRIM(H1))=0</formula>
    </cfRule>
  </conditionalFormatting>
  <conditionalFormatting sqref="I5:I44 I48:I79 I83:I113 I117:I146 I215:I235 I150:I189 I193:I211 I239:I261">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0"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s>
  <pageMargins left="0.7" right="0.7" top="0.75" bottom="0.75" header="0.3" footer="0.3"/>
  <pageSetup paperSize="9" scale="52" fitToHeight="0" orientation="landscape" horizontalDpi="1200" verticalDpi="1200" r:id="rId95"/>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E239:E260</xm:sqref>
        </x14:dataValidation>
        <x14:dataValidation type="list" allowBlank="1" xr:uid="{00000000-0002-0000-0000-000002000000}">
          <x14:formula1>
            <xm:f>'Drop-downs'!$A$2:$A$9</xm:f>
          </x14:formula1>
          <xm:sqref>B215:B234 B5:B43 B48:B78 B83:B112 B117:B145 B150:B188 B193:B210 B239:B260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7" t="s">
        <v>38</v>
      </c>
      <c r="C14" s="78"/>
      <c r="D14" s="78"/>
      <c r="E14" s="78"/>
      <c r="F14" s="78"/>
      <c r="G14" s="78"/>
      <c r="H14" s="78"/>
      <c r="I14" s="78"/>
      <c r="J14" s="78"/>
      <c r="K14" s="78"/>
    </row>
    <row r="18" spans="2:6" ht="15" customHeight="1" x14ac:dyDescent="0.25">
      <c r="B18" s="9"/>
    </row>
    <row r="19" spans="2:6" ht="15" customHeight="1" x14ac:dyDescent="0.25">
      <c r="B19" s="79" t="s">
        <v>39</v>
      </c>
      <c r="C19" s="79"/>
      <c r="D19" s="79"/>
      <c r="E19" s="79"/>
      <c r="F19" s="79"/>
    </row>
    <row r="20" spans="2:6" ht="15" customHeight="1" x14ac:dyDescent="0.25">
      <c r="B20" s="79"/>
      <c r="C20" s="79"/>
      <c r="D20" s="79"/>
      <c r="E20" s="79"/>
      <c r="F20" s="79"/>
    </row>
    <row r="21" spans="2:6" ht="15" customHeight="1" x14ac:dyDescent="0.25">
      <c r="B21" s="79"/>
      <c r="C21" s="79"/>
      <c r="D21" s="79"/>
      <c r="E21" s="79"/>
      <c r="F21" s="79"/>
    </row>
    <row r="22" spans="2:6" ht="15" customHeight="1" x14ac:dyDescent="0.25">
      <c r="B22" s="79"/>
      <c r="C22" s="79"/>
      <c r="D22" s="79"/>
      <c r="E22" s="79"/>
      <c r="F22" s="79"/>
    </row>
    <row r="23" spans="2:6" ht="15" customHeight="1" x14ac:dyDescent="0.25">
      <c r="B23" s="79"/>
      <c r="C23" s="79"/>
      <c r="D23" s="79"/>
      <c r="E23" s="79"/>
      <c r="F23" s="79"/>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2025-01-23T20:58:55Z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