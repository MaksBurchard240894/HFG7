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57EB2914-3E63-49CC-A556-B91CA4402C19}"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'Worklog_Tasks&amp;Times'!$A$1:$K$228</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13" i="1" l="1"/>
  <c r="I212" i="1"/>
  <c r="I211" i="1"/>
  <c r="I210" i="1"/>
  <c r="I209" i="1"/>
  <c r="I208" i="1"/>
  <c r="I201" i="1"/>
  <c r="I185" i="1"/>
  <c r="I191" i="1"/>
  <c r="I190" i="1"/>
  <c r="I189" i="1"/>
  <c r="I188" i="1"/>
  <c r="I182" i="1"/>
  <c r="I183" i="1"/>
  <c r="I184" i="1"/>
  <c r="I186" i="1"/>
  <c r="I187" i="1"/>
  <c r="I181" i="1"/>
  <c r="I180" i="1"/>
  <c r="I179" i="1"/>
  <c r="I178" i="1"/>
  <c r="I157" i="1"/>
  <c r="I147" i="1"/>
  <c r="I148" i="1"/>
  <c r="I177" i="1"/>
  <c r="I176" i="1"/>
  <c r="I175" i="1"/>
  <c r="I174" i="1"/>
  <c r="I173" i="1"/>
  <c r="I172" i="1"/>
  <c r="I171" i="1"/>
  <c r="I165" i="1"/>
  <c r="I166" i="1"/>
  <c r="I167" i="1"/>
  <c r="I168" i="1"/>
  <c r="I169" i="1"/>
  <c r="I170" i="1"/>
  <c r="I192" i="1"/>
  <c r="I164" i="1"/>
  <c r="H150" i="1"/>
  <c r="G150" i="1"/>
  <c r="I122" i="1"/>
  <c r="I121" i="1"/>
  <c r="I145" i="1"/>
  <c r="I144" i="1"/>
  <c r="I143" i="1"/>
  <c r="I142" i="1"/>
  <c r="I140" i="1"/>
  <c r="I128" i="1"/>
  <c r="I131" i="1"/>
  <c r="I132" i="1"/>
  <c r="I133" i="1"/>
  <c r="I134" i="1"/>
  <c r="I135" i="1"/>
  <c r="I130" i="1"/>
  <c r="I129" i="1"/>
  <c r="I127" i="1"/>
  <c r="I126" i="1"/>
  <c r="I125" i="1"/>
  <c r="I124" i="1"/>
  <c r="I111" i="1"/>
  <c r="I113" i="1"/>
  <c r="I112" i="1"/>
  <c r="I114" i="1"/>
  <c r="I115" i="1"/>
  <c r="I102" i="1"/>
  <c r="I103" i="1"/>
  <c r="I104" i="1"/>
  <c r="I105" i="1"/>
  <c r="I106" i="1"/>
  <c r="I107" i="1"/>
  <c r="I108" i="1"/>
  <c r="I109" i="1"/>
  <c r="I110" i="1"/>
  <c r="I101" i="1"/>
  <c r="I100" i="1"/>
  <c r="I98" i="1"/>
  <c r="I99" i="1"/>
  <c r="I95" i="1"/>
  <c r="I89" i="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43" i="1"/>
  <c r="G243" i="1"/>
  <c r="I242" i="1"/>
  <c r="I241" i="1"/>
  <c r="I240" i="1"/>
  <c r="I239" i="1"/>
  <c r="I238" i="1"/>
  <c r="I237" i="1"/>
  <c r="I236" i="1"/>
  <c r="I235" i="1"/>
  <c r="I234" i="1"/>
  <c r="I233" i="1"/>
  <c r="H229" i="1"/>
  <c r="G229" i="1"/>
  <c r="B9" i="2"/>
  <c r="B8" i="2"/>
  <c r="B11" i="2"/>
  <c r="B10" i="2"/>
  <c r="K11" i="2"/>
  <c r="I243" i="1" l="1"/>
  <c r="K8" i="2"/>
  <c r="K10" i="2"/>
  <c r="E12" i="2"/>
  <c r="D12" i="2"/>
  <c r="I229" i="1"/>
  <c r="J12" i="2"/>
  <c r="I12" i="2"/>
  <c r="H12" i="2"/>
  <c r="G12" i="2"/>
  <c r="F12" i="2"/>
  <c r="K9" i="2"/>
  <c r="K7" i="2"/>
  <c r="B7" i="2"/>
  <c r="K6" i="2"/>
  <c r="B6" i="2"/>
  <c r="K5" i="2"/>
  <c r="B5" i="2"/>
  <c r="C12" i="2"/>
  <c r="B4" i="2"/>
  <c r="K3" i="2"/>
  <c r="B3" i="2"/>
  <c r="I228" i="1"/>
  <c r="I227" i="1"/>
  <c r="I226" i="1"/>
  <c r="I225" i="1"/>
  <c r="I224" i="1"/>
  <c r="I223" i="1"/>
  <c r="I222" i="1"/>
  <c r="I221" i="1"/>
  <c r="I220" i="1"/>
  <c r="I219" i="1"/>
  <c r="H215" i="1"/>
  <c r="G215" i="1"/>
  <c r="I214" i="1"/>
  <c r="I207" i="1"/>
  <c r="I206" i="1"/>
  <c r="I205" i="1"/>
  <c r="I204" i="1"/>
  <c r="I203" i="1"/>
  <c r="I202" i="1"/>
  <c r="I200" i="1"/>
  <c r="I199" i="1"/>
  <c r="I198" i="1"/>
  <c r="H194" i="1"/>
  <c r="G194" i="1"/>
  <c r="I193" i="1"/>
  <c r="I163" i="1"/>
  <c r="I162" i="1"/>
  <c r="I161" i="1"/>
  <c r="I160" i="1"/>
  <c r="I159" i="1"/>
  <c r="I158" i="1"/>
  <c r="I156" i="1"/>
  <c r="I155" i="1"/>
  <c r="I154" i="1"/>
  <c r="I149" i="1"/>
  <c r="I146" i="1"/>
  <c r="I141" i="1"/>
  <c r="I139" i="1"/>
  <c r="I138" i="1"/>
  <c r="I137" i="1"/>
  <c r="I136" i="1"/>
  <c r="I123" i="1"/>
  <c r="H117" i="1"/>
  <c r="G117" i="1"/>
  <c r="I116" i="1"/>
  <c r="I97" i="1"/>
  <c r="I96" i="1"/>
  <c r="I94" i="1"/>
  <c r="I93" i="1"/>
  <c r="I91" i="1"/>
  <c r="I90" i="1"/>
  <c r="I88" i="1"/>
  <c r="I87" i="1"/>
  <c r="I86" i="1"/>
  <c r="I77" i="1"/>
  <c r="I58" i="1"/>
  <c r="I57" i="1"/>
  <c r="I56" i="1"/>
  <c r="I55" i="1"/>
  <c r="I54" i="1"/>
  <c r="I53" i="1"/>
  <c r="I52" i="1"/>
  <c r="I51" i="1"/>
  <c r="I50" i="1"/>
  <c r="I17" i="1"/>
  <c r="I14" i="1"/>
  <c r="I12" i="1"/>
  <c r="I11" i="1"/>
  <c r="I10" i="1"/>
  <c r="I9" i="1"/>
  <c r="I8" i="1"/>
  <c r="I7" i="1"/>
  <c r="I6" i="1"/>
  <c r="I5" i="1"/>
  <c r="I194" i="1" l="1"/>
  <c r="I46" i="1"/>
  <c r="K4" i="2"/>
  <c r="I82" i="1"/>
  <c r="I117" i="1"/>
  <c r="I150" i="1"/>
  <c r="I215"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<sst xmlns="http://schemas.openxmlformats.org/spreadsheetml/2006/main" count="1137" uniqueCount="334">
  <si>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</si>
  <si>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</si>
  <si>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</si>
  <si>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</si>
  <si>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</si>
  <si>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</si>
  <si>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</si>
  <si>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</si>
  <si>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</si>
  <si>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</si>
  <si>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</si>
  <si>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</si>
  <si>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</si>
  <si>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</si>
  <si>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</si>
  <si>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</si>
  <si>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</si>
  <si>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</si>
  <si>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</si>
  <si>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</si>
  <si>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</si>
  <si>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</si>
  <si>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</si>
  <si>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</si>
  <si>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</si>
  <si>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</si>
  <si>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</si>
  <si>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</si>
  <si>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</si>
  <si>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</si>
  <si>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</si>
  <si>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</si>
  <si>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</si>
  <si>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</si>
  <si>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</si>
  <si>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</si>
  <si>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</si>
  <si>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</si>
  <si>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</si>
  <si>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</si>
  <si>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</si>
  <si>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</si>
  <si>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</si>
  <si>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</si>
  <si>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</si>
  <si>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</si>
  <si>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</si>
  <si>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</si>
  <si>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</si>
  <si>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</si>
  <si>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</si>
  <si>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</si>
  <si>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</si>
  <si>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</si>
  <si>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</si>
  <si>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</si>
  <si>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</si>
  <si>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</si>
  <si>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</si>
  <si>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</si>
  <si>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</si>
  <si>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</si>
  <si>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</si>
  <si>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</si>
  <si>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</si>
  <si>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</si>
  <si>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</si>
  <si>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</si>
  <si>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</si>
  <si>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</si>
  <si>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</si>
  <si>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</si>
  <si>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</si>
  <si>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</si>
  <si>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</si>
  <si>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</si>
  <si>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</si>
  <si>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</si>
  <si>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</si>
  <si>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</si>
  <si>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</si>
  <si>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</si>
  <si>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</si>
  <si>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</si>
  <si>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</si>
  <si>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</si>
  <si>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</si>
  <si>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</si>
  <si>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</si>
  <si>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</si>
  <si>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</si>
  <si>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</si>
  <si>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</si>
  <si>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</si>
  <si>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</si>
  <si>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</si>
  <si>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</si>
  <si>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</si>
  <si>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</si>
  <si>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</si>
  <si>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</si>
  <si>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</si>
  <si>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</si>
  <si>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</si>
  <si>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</si>
  <si>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</si>
  <si>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</si>
  <si>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</si>
  <si>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</si>
  <si>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</si>
  <si>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</si>
  <si>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</si>
  <si>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</si>
  <si>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</si>
  <si>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</si>
  <si>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</si>
  <si>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</si>
  <si>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</si>
  <si>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</si>
  <si>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</si>
  <si>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</si>
  <si>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</si>
  <si>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</si>
  <si>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</si>
  <si>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</si>
  <si>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</si>
  <si>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</si>
  <si>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</si>
  <si>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</si>
  <si>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</si>
  <si>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</si>
  <si>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</si>
  <si>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</si>
  <si>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</si>
  <si>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</si>
  <si>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</si>
  <si>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</si>
  <si>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</si>
  <si>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</si>
  <si>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</si>
  <si>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</si>
  <si>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</si>
  <si>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</si>
  <si>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</si>
  <si>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</si>
  <si>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</si>
  <si>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</si>
  <si>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</si>
  <si>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</si>
  <si>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</si>
  <si>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0,75 at 13:00</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</si>
  <si>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</si>
  <si>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</si>
  <si>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</si>
  <si>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</si>
  <si>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</si>
  <si>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</si>
  <si>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</si>
  <si>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</si>
  <si>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</si>
  <si>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</si>
  <si>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</si>
  <si>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</si>
  <si>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</si>
  <si>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</si>
  <si>
    <t>DataLab 1 stand-up meeting</t>
  </si>
  <si>
    <t>Implement Linear Regression</t>
  </si>
  <si>
    <t>Implement Decision Tree Regression</t>
  </si>
  <si>
    <t>ILO 6.2</t>
  </si>
  <si>
    <t>Took a bit longer than planned.</t>
  </si>
  <si>
    <t>Learn about matrices</t>
  </si>
  <si>
    <t>Application of matrices</t>
  </si>
  <si>
    <t>Matrices Quiz</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</si>
  <si>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</si>
  <si>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</si>
  <si>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</si>
  <si>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</si>
  <si>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</si>
  <si>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</si>
  <si>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</si>
  <si>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</si>
  <si>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</si>
  <si>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</si>
  <si>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</si>
  <si>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</si>
  <si>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</si>
  <si>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</si>
  <si>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</si>
  <si>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</si>
  <si>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</si>
  <si>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</si>
  <si>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</si>
  <si>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</si>
  <si>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Do Calculus Quiz</t>
  </si>
  <si>
    <t>Learn Calculus</t>
  </si>
  <si>
    <t>Practice Calculus</t>
  </si>
  <si>
    <t>2 hours so far</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</si>
  <si>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</si>
  <si>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</si>
  <si>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</si>
  <si>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</si>
  <si>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</si>
  <si>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</si>
  <si>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</si>
  <si>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</si>
  <si>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</si>
  <si>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</si>
  <si>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</si>
  <si>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</si>
  <si>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</si>
  <si>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</si>
  <si>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</si>
  <si>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</si>
  <si>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</si>
  <si>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</si>
  <si>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</si>
  <si>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</si>
  <si>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</si>
  <si>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</si>
  <si>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</si>
  <si>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</si>
  <si>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</si>
  <si>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</si>
  <si>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</si>
  <si>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</si>
  <si>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</si>
  <si>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</si>
  <si>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</si>
  <si>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</si>
  <si>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</si>
  <si>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</si>
  <si>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</si>
  <si>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</si>
  <si>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</si>
  <si>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</si>
  <si>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</si>
  <si>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</si>
  <si>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</si>
  <si>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</si>
  <si>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</si>
  <si>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</si>
  <si>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</si>
  <si>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</si>
  <si>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</si>
  <si>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</si>
  <si>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</si>
  <si>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</si>
  <si>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</si>
  <si>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</si>
  <si>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</si>
  <si>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Do the Monday datalab task</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</si>
  <si>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</si>
  <si>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</si>
  <si>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</si>
  <si>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</si>
  <si>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</si>
  <si>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</si>
  <si>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</si>
  <si>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</si>
  <si>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</si>
  <si>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</si>
  <si>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</si>
  <si>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</si>
  <si>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</si>
  <si>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</si>
  <si>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</si>
  <si>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</si>
  <si>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</si>
  <si>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</si>
  <si>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</si>
  <si>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</si>
  <si>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</si>
  <si>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</si>
  <si>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</si>
  <si>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</si>
  <si>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Fill in WorkLog for Fridat</t>
  </si>
  <si>
    <t>Prepare for retake</t>
  </si>
  <si>
    <t>Re-install all programs for Block B on new laptop</t>
  </si>
  <si>
    <t>Installation</t>
  </si>
  <si>
    <t>Had a bit of a problem with VSC not seeing the environment or some of the packages on my new laptop.</t>
  </si>
  <si>
    <t>Do the quiz about multivariable calculus</t>
  </si>
  <si>
    <t>Do the quiz about python for symbolic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</si>
  <si>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</si>
  <si>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</si>
  <si>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</si>
  <si>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</si>
  <si>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</si>
  <si>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</si>
  <si>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</si>
  <si>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</si>
  <si>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</si>
  <si>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</si>
  <si>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</si>
  <si>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</si>
  <si>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</si>
  <si>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</si>
  <si>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</si>
  <si>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</si>
  <si>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0,1 so far</t>
  </si>
  <si>
    <t xml:space="preserve"> </t>
  </si>
  <si>
    <t>Informal DBSCAN Lecture</t>
  </si>
  <si>
    <t>Learn how to apply feature engineering and selection</t>
  </si>
  <si>
    <t>Do DataCamp course "Feature Engineering for Machine Learning in Python"</t>
  </si>
  <si>
    <t>Had troubles with dependencies % packages</t>
  </si>
  <si>
    <t>Do DataCamp course "End-to-End Machine Learning"</t>
  </si>
  <si>
    <t>Feature Engineering Learning</t>
  </si>
  <si>
    <t>06-07/01/2025</t>
  </si>
  <si>
    <t>Mathematics Lecture</t>
  </si>
  <si>
    <t>Do feature engineering</t>
  </si>
  <si>
    <t>Do feature selection</t>
  </si>
  <si>
    <t xml:space="preserve">Due to sickness, combined with a few breaks due to me being busy, and this being done over 2 days, this took quite some time more than planned. </t>
  </si>
  <si>
    <t>Fill in WorkLog planning for Monday</t>
  </si>
  <si>
    <t>Fill in Learning Log for week 7</t>
  </si>
  <si>
    <t>Fill in Learning Log for week 6</t>
  </si>
  <si>
    <t>Learn Fine Tuning</t>
  </si>
  <si>
    <t>Learn about Model Fitting</t>
  </si>
  <si>
    <t>Learn about Hyperparameter Optimization Techniques</t>
  </si>
  <si>
    <t>Move some documents over from old laptop to new laptop</t>
  </si>
  <si>
    <t>Organizing Documents</t>
  </si>
  <si>
    <t>Get interrupted by a scam call</t>
  </si>
  <si>
    <t>Unplanned Incident</t>
  </si>
  <si>
    <t>Learn Cross-Validation</t>
  </si>
  <si>
    <t>Learn how to evaluate using Cross-Validation &amp; its variants</t>
  </si>
  <si>
    <t>07&amp;13.01.2025</t>
  </si>
  <si>
    <t>Do DataCamp course "Model Validation in Python"</t>
  </si>
  <si>
    <t>Learn Optimization Algorithms</t>
  </si>
  <si>
    <t>Learn Gradient Descent Optimization Algorithm</t>
  </si>
  <si>
    <t>Learn Gradient Descent with Momentum</t>
  </si>
  <si>
    <t>Learn how to implement Regression Model</t>
  </si>
  <si>
    <t>Learn how to Train the Model with Gradient Descent</t>
  </si>
  <si>
    <t>Do Assignment 1</t>
  </si>
  <si>
    <t>Do Assignment 2</t>
  </si>
  <si>
    <t>Fill out Block A WorkLog regarding Python Exam retake</t>
  </si>
  <si>
    <t>Block A Evidencing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</si>
</sst>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5" fillId="0" borderId="2" xfId="0" applyFont="1" applyBorder="1"/>
    <xf numFmtId="0" fontId="5" fillId="0" borderId="9" xfId="0" applyFont="1" applyBorder="1"/>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7" fillId="10" borderId="5" xfId="0" applyFont="1" applyFill="1" applyBorder="1" applyAlignment="1">
      <alignment vertical="center"/>
    </xf>
    <xf numFmtId="0" fontId="7" fillId="12" borderId="5" xfId="0" applyFont="1" applyFill="1" applyBorder="1" applyAlignment="1">
      <alignment vertical="center"/>
    </xf>
    <xf numFmtId="0" fontId="4" fillId="13" borderId="5" xfId="0" applyFont="1" applyFill="1" applyBorder="1" applyAlignment="1">
      <alignment vertical="center" wrapText="1"/>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43"/>
  <sheetViews>
    <sheetView tabSelected="1" workbookViewId="0">
      <pane ySplit="1" topLeftCell="A199" activePane="bottomLeft" state="frozen"/>
      <selection pane="bottomLeft" activeCell="H226" sqref="H226"/>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58" t="s">
        <v>11</v>
      </c>
      <c r="B2" s="59"/>
      <c r="C2" s="59"/>
      <c r="D2" s="59"/>
      <c r="E2" s="59"/>
      <c r="F2" s="59"/>
      <c r="G2" s="59"/>
      <c r="H2" s="59"/>
      <c r="I2" s="59"/>
      <c r="J2" s="59"/>
      <c r="K2" s="60"/>
    </row>
    <row r="3" spans="1:11" ht="12.5" x14ac:dyDescent="0.25">
      <c r="A3" s="5" t="s">
        <v>12</v>
      </c>
      <c r="B3" s="61" t="s">
        <v>13</v>
      </c>
      <c r="C3" s="62"/>
      <c r="D3" s="62"/>
      <c r="E3" s="62"/>
      <c r="F3" s="62"/>
      <c r="G3" s="62"/>
      <c r="H3" s="62"/>
      <c r="I3" s="62"/>
      <c r="J3" s="62"/>
      <c r="K3" s="63"/>
    </row>
    <row r="4" spans="1:11" ht="27.75" customHeight="1" x14ac:dyDescent="0.25">
      <c r="A4" s="8" t="s">
        <v>14</v>
      </c>
      <c r="B4" s="61" t="s">
        <v>15</v>
      </c>
      <c r="C4" s="62"/>
      <c r="D4" s="62"/>
      <c r="E4" s="62"/>
      <c r="F4" s="62"/>
      <c r="G4" s="62"/>
      <c r="H4" s="62"/>
      <c r="I4" s="62"/>
      <c r="J4" s="62"/>
      <c r="K4" s="63"/>
    </row>
    <row r="5" spans="1:11" ht="12.5" x14ac:dyDescent="0.25">
      <c r="A5" s="37">
        <v>45614</v>
      </c>
      <c r="B5" s="38" t="s">
        <v>54</v>
      </c>
      <c r="C5" s="39" t="s">
        <v>245</v>
      </c>
      <c r="D5" s="38" t="s">
        <v>69</v>
      </c>
      <c r="E5" s="40" t="s">
        <v>66</v>
      </c>
      <c r="F5" s="40" t="s">
        <v>86</v>
      </c>
      <c r="G5" s="41">
        <v>0.5</v>
      </c>
      <c r="H5" s="41">
        <v>0.5</v>
      </c>
      <c r="I5" s="41">
        <f t="shared" ref="I5:I46" si="0">H5-G5</f>
        <v>0</v>
      </c>
      <c r="J5" s="42"/>
      <c r="K5" s="43"/>
    </row>
    <row r="6" spans="1:11" ht="12.5" x14ac:dyDescent="0.25">
      <c r="A6" s="37">
        <v>45614</v>
      </c>
      <c r="B6" s="38" t="s">
        <v>54</v>
      </c>
      <c r="C6" s="39" t="s">
        <v>245</v>
      </c>
      <c r="D6" s="38" t="s">
        <v>70</v>
      </c>
      <c r="E6" s="40" t="s">
        <v>52</v>
      </c>
      <c r="F6" s="40" t="s">
        <v>86</v>
      </c>
      <c r="G6" s="41">
        <v>0.1</v>
      </c>
      <c r="H6" s="41">
        <v>0.5</v>
      </c>
      <c r="I6" s="41">
        <f t="shared" si="0"/>
        <v>0.4</v>
      </c>
      <c r="J6" s="42"/>
      <c r="K6" s="44" t="s">
        <v>83</v>
      </c>
    </row>
    <row r="7" spans="1:11" ht="12.5" x14ac:dyDescent="0.25">
      <c r="A7" s="37">
        <v>45614</v>
      </c>
      <c r="B7" s="38" t="s">
        <v>54</v>
      </c>
      <c r="C7" s="39" t="s">
        <v>245</v>
      </c>
      <c r="D7" s="38" t="s">
        <v>71</v>
      </c>
      <c r="E7" s="40" t="s">
        <v>49</v>
      </c>
      <c r="F7" s="40" t="s">
        <v>88</v>
      </c>
      <c r="G7" s="41">
        <v>1</v>
      </c>
      <c r="H7" s="41">
        <v>1</v>
      </c>
      <c r="I7" s="41">
        <f t="shared" si="0"/>
        <v>0</v>
      </c>
      <c r="J7" s="42"/>
      <c r="K7" s="44"/>
    </row>
    <row r="8" spans="1:11" ht="12.5" x14ac:dyDescent="0.25">
      <c r="A8" s="37">
        <v>45614</v>
      </c>
      <c r="B8" s="38" t="s">
        <v>54</v>
      </c>
      <c r="C8" s="39" t="s">
        <v>246</v>
      </c>
      <c r="D8" s="38" t="s">
        <v>72</v>
      </c>
      <c r="E8" s="40" t="s">
        <v>66</v>
      </c>
      <c r="F8" s="40" t="s">
        <v>88</v>
      </c>
      <c r="G8" s="41">
        <v>1.5</v>
      </c>
      <c r="H8" s="41">
        <v>1</v>
      </c>
      <c r="I8" s="41">
        <f t="shared" si="0"/>
        <v>-0.5</v>
      </c>
      <c r="J8" s="42"/>
      <c r="K8" s="44"/>
    </row>
    <row r="9" spans="1:11" ht="12.5" x14ac:dyDescent="0.25">
      <c r="A9" s="37">
        <v>45614</v>
      </c>
      <c r="B9" s="38" t="s">
        <v>54</v>
      </c>
      <c r="C9" s="39" t="s">
        <v>246</v>
      </c>
      <c r="D9" s="38" t="s">
        <v>73</v>
      </c>
      <c r="E9" s="40" t="s">
        <v>66</v>
      </c>
      <c r="F9" s="40" t="s">
        <v>88</v>
      </c>
      <c r="G9" s="41">
        <v>4</v>
      </c>
      <c r="H9" s="41">
        <v>4</v>
      </c>
      <c r="I9" s="41">
        <f t="shared" si="0"/>
        <v>0</v>
      </c>
      <c r="J9" s="42"/>
      <c r="K9" s="44"/>
    </row>
    <row r="10" spans="1:11" ht="12.5" x14ac:dyDescent="0.25">
      <c r="A10" s="37">
        <v>45614</v>
      </c>
      <c r="B10" s="38" t="s">
        <v>48</v>
      </c>
      <c r="C10" s="39" t="s">
        <v>246</v>
      </c>
      <c r="D10" s="38" t="s">
        <v>74</v>
      </c>
      <c r="E10" s="40" t="s">
        <v>49</v>
      </c>
      <c r="F10" s="40" t="s">
        <v>88</v>
      </c>
      <c r="G10" s="41">
        <v>1</v>
      </c>
      <c r="H10" s="41">
        <v>0.5</v>
      </c>
      <c r="I10" s="41">
        <f t="shared" si="0"/>
        <v>-0.5</v>
      </c>
      <c r="J10" s="45"/>
      <c r="K10" s="44" t="s">
        <v>84</v>
      </c>
    </row>
    <row r="11" spans="1:11" ht="12.5" x14ac:dyDescent="0.25">
      <c r="A11" s="37">
        <v>45614</v>
      </c>
      <c r="B11" s="38" t="s">
        <v>54</v>
      </c>
      <c r="C11" s="39" t="s">
        <v>246</v>
      </c>
      <c r="D11" s="38" t="s">
        <v>75</v>
      </c>
      <c r="E11" s="40" t="s">
        <v>49</v>
      </c>
      <c r="F11" s="40" t="s">
        <v>88</v>
      </c>
      <c r="G11" s="41">
        <v>1</v>
      </c>
      <c r="H11" s="41">
        <v>1</v>
      </c>
      <c r="I11" s="41">
        <f t="shared" si="0"/>
        <v>0</v>
      </c>
      <c r="J11" s="45"/>
      <c r="K11" s="44" t="s">
        <v>85</v>
      </c>
    </row>
    <row r="12" spans="1:11" ht="12.5" x14ac:dyDescent="0.25">
      <c r="A12" s="37">
        <v>45615</v>
      </c>
      <c r="B12" s="38" t="s">
        <v>54</v>
      </c>
      <c r="C12" s="39" t="s">
        <v>245</v>
      </c>
      <c r="D12" s="38" t="s">
        <v>76</v>
      </c>
      <c r="E12" s="40" t="s">
        <v>65</v>
      </c>
      <c r="F12" s="40" t="s">
        <v>86</v>
      </c>
      <c r="G12" s="41">
        <v>1.5</v>
      </c>
      <c r="H12" s="41">
        <v>1.25</v>
      </c>
      <c r="I12" s="41">
        <f t="shared" si="0"/>
        <v>-0.25</v>
      </c>
      <c r="J12" s="45"/>
      <c r="K12" s="44"/>
    </row>
    <row r="13" spans="1:11" ht="12.5" x14ac:dyDescent="0.25">
      <c r="A13" s="37">
        <v>45615</v>
      </c>
      <c r="B13" s="38" t="s">
        <v>54</v>
      </c>
      <c r="C13" s="39" t="s">
        <v>77</v>
      </c>
      <c r="D13" s="38" t="s">
        <v>247</v>
      </c>
      <c r="E13" s="40" t="s">
        <v>46</v>
      </c>
      <c r="F13" s="40" t="s">
        <v>87</v>
      </c>
      <c r="G13" s="41">
        <v>0.25</v>
      </c>
      <c r="H13" s="41">
        <v>0.25</v>
      </c>
      <c r="I13" s="41">
        <f t="shared" si="0"/>
        <v>0</v>
      </c>
      <c r="J13" s="45"/>
      <c r="K13" s="44"/>
    </row>
    <row r="14" spans="1:11" ht="12.5" x14ac:dyDescent="0.25">
      <c r="A14" s="37">
        <v>45615</v>
      </c>
      <c r="B14" s="38" t="s">
        <v>54</v>
      </c>
      <c r="C14" s="39" t="s">
        <v>245</v>
      </c>
      <c r="D14" s="38" t="s">
        <v>78</v>
      </c>
      <c r="E14" s="40" t="s">
        <v>66</v>
      </c>
      <c r="F14" s="40" t="s">
        <v>86</v>
      </c>
      <c r="G14" s="41">
        <v>0.25</v>
      </c>
      <c r="H14" s="41">
        <v>0.25</v>
      </c>
      <c r="I14" s="41">
        <f t="shared" si="0"/>
        <v>0</v>
      </c>
      <c r="J14" s="45"/>
      <c r="K14" s="44"/>
    </row>
    <row r="15" spans="1:11" ht="12.5" x14ac:dyDescent="0.25">
      <c r="A15" s="37">
        <v>45615</v>
      </c>
      <c r="B15" s="38" t="s">
        <v>54</v>
      </c>
      <c r="C15" s="39" t="s">
        <v>79</v>
      </c>
      <c r="D15" s="38" t="s">
        <v>248</v>
      </c>
      <c r="E15" s="40" t="s">
        <v>63</v>
      </c>
      <c r="F15" s="40" t="s">
        <v>86</v>
      </c>
      <c r="G15" s="41">
        <v>0.25</v>
      </c>
      <c r="H15" s="41">
        <v>0.25</v>
      </c>
      <c r="I15" s="41">
        <f t="shared" si="0"/>
        <v>0</v>
      </c>
      <c r="J15" s="45"/>
      <c r="K15" s="44"/>
    </row>
    <row r="16" spans="1:11" ht="12.5" x14ac:dyDescent="0.25">
      <c r="A16" s="37">
        <v>45615</v>
      </c>
      <c r="B16" s="38" t="s">
        <v>54</v>
      </c>
      <c r="C16" s="39" t="s">
        <v>245</v>
      </c>
      <c r="D16" s="38" t="s">
        <v>80</v>
      </c>
      <c r="E16" s="40" t="s">
        <v>63</v>
      </c>
      <c r="F16" s="40" t="s">
        <v>86</v>
      </c>
      <c r="G16" s="41">
        <v>0.25</v>
      </c>
      <c r="H16" s="41">
        <v>0.25</v>
      </c>
      <c r="I16" s="41">
        <f t="shared" si="0"/>
        <v>0</v>
      </c>
      <c r="J16" s="45"/>
      <c r="K16" s="44"/>
    </row>
    <row r="17" spans="1:11" ht="12.5" x14ac:dyDescent="0.25">
      <c r="A17" s="37">
        <v>45615</v>
      </c>
      <c r="B17" s="38" t="s">
        <v>57</v>
      </c>
      <c r="C17" s="39" t="s">
        <v>245</v>
      </c>
      <c r="D17" s="38" t="s">
        <v>81</v>
      </c>
      <c r="E17" s="40" t="s">
        <v>61</v>
      </c>
      <c r="F17" s="40" t="s">
        <v>87</v>
      </c>
      <c r="G17" s="41">
        <v>0.5</v>
      </c>
      <c r="H17" s="41">
        <v>0.75</v>
      </c>
      <c r="I17" s="41">
        <f t="shared" si="0"/>
        <v>0.25</v>
      </c>
      <c r="J17" s="45"/>
      <c r="K17" s="44" t="s">
        <v>143</v>
      </c>
    </row>
    <row r="18" spans="1:11" ht="12.5" x14ac:dyDescent="0.25">
      <c r="A18" s="37">
        <v>45615</v>
      </c>
      <c r="B18" s="38" t="s">
        <v>54</v>
      </c>
      <c r="C18" s="39" t="s">
        <v>245</v>
      </c>
      <c r="D18" s="38" t="s">
        <v>82</v>
      </c>
      <c r="E18" s="40" t="s">
        <v>63</v>
      </c>
      <c r="F18" s="40" t="s">
        <v>86</v>
      </c>
      <c r="G18" s="41">
        <v>0.25</v>
      </c>
      <c r="H18" s="41">
        <v>0.25</v>
      </c>
      <c r="I18" s="41">
        <f t="shared" si="0"/>
        <v>0</v>
      </c>
      <c r="J18" s="45"/>
      <c r="K18" s="44"/>
    </row>
    <row r="19" spans="1:11" ht="12.5" x14ac:dyDescent="0.25">
      <c r="A19" s="37">
        <v>45615</v>
      </c>
      <c r="B19" s="38" t="s">
        <v>54</v>
      </c>
      <c r="C19" s="39" t="s">
        <v>245</v>
      </c>
      <c r="D19" s="38" t="s">
        <v>89</v>
      </c>
      <c r="E19" s="40" t="s">
        <v>49</v>
      </c>
      <c r="F19" s="40" t="s">
        <v>88</v>
      </c>
      <c r="G19" s="41">
        <v>0.25</v>
      </c>
      <c r="H19" s="41">
        <v>0.25</v>
      </c>
      <c r="I19" s="41">
        <f t="shared" si="0"/>
        <v>0</v>
      </c>
      <c r="J19" s="45"/>
      <c r="K19" s="44"/>
    </row>
    <row r="20" spans="1:11" ht="48" x14ac:dyDescent="0.25">
      <c r="A20" s="37">
        <v>45615</v>
      </c>
      <c r="B20" s="38" t="s">
        <v>48</v>
      </c>
      <c r="C20" s="39" t="s">
        <v>249</v>
      </c>
      <c r="D20" s="38" t="s">
        <v>90</v>
      </c>
      <c r="E20" s="40" t="s">
        <v>64</v>
      </c>
      <c r="F20" s="40" t="s">
        <v>86</v>
      </c>
      <c r="G20" s="41">
        <v>0.5</v>
      </c>
      <c r="H20" s="41">
        <v>0.5</v>
      </c>
      <c r="I20" s="41">
        <f t="shared" si="0"/>
        <v>0</v>
      </c>
      <c r="J20" s="45"/>
      <c r="K20" s="44" t="s">
        <v>91</v>
      </c>
    </row>
    <row r="21" spans="1:11" ht="12.5" x14ac:dyDescent="0.25">
      <c r="A21" s="37">
        <v>45615</v>
      </c>
      <c r="B21" s="38" t="s">
        <v>54</v>
      </c>
      <c r="C21" s="39" t="s">
        <v>237</v>
      </c>
      <c r="D21" s="38" t="s">
        <v>250</v>
      </c>
      <c r="E21" s="40" t="s">
        <v>49</v>
      </c>
      <c r="F21" s="40" t="s">
        <v>88</v>
      </c>
      <c r="G21" s="41">
        <v>3</v>
      </c>
      <c r="H21" s="41">
        <v>3</v>
      </c>
      <c r="I21" s="41">
        <f t="shared" si="0"/>
        <v>0</v>
      </c>
      <c r="J21" s="45"/>
      <c r="K21" s="44"/>
    </row>
    <row r="22" spans="1:11" ht="12.5" x14ac:dyDescent="0.25">
      <c r="A22" s="37">
        <v>45615</v>
      </c>
      <c r="B22" s="38" t="s">
        <v>54</v>
      </c>
      <c r="C22" s="39" t="s">
        <v>245</v>
      </c>
      <c r="D22" s="38" t="s">
        <v>92</v>
      </c>
      <c r="E22" s="40" t="s">
        <v>63</v>
      </c>
      <c r="F22" s="40" t="s">
        <v>86</v>
      </c>
      <c r="G22" s="41">
        <v>0.5</v>
      </c>
      <c r="H22" s="41">
        <v>0.5</v>
      </c>
      <c r="I22" s="41">
        <f t="shared" si="0"/>
        <v>0</v>
      </c>
      <c r="J22" s="45"/>
      <c r="K22" s="44"/>
    </row>
    <row r="23" spans="1:11" ht="12.5" x14ac:dyDescent="0.25">
      <c r="A23" s="37">
        <v>45617</v>
      </c>
      <c r="B23" s="38" t="s">
        <v>54</v>
      </c>
      <c r="C23" s="39" t="s">
        <v>79</v>
      </c>
      <c r="D23" s="38" t="s">
        <v>253</v>
      </c>
      <c r="E23" s="40" t="s">
        <v>61</v>
      </c>
      <c r="F23" s="40" t="s">
        <v>86</v>
      </c>
      <c r="G23" s="41">
        <v>0.25</v>
      </c>
      <c r="H23" s="41">
        <v>0.25</v>
      </c>
      <c r="I23" s="41">
        <f t="shared" si="0"/>
        <v>0</v>
      </c>
      <c r="J23" s="45"/>
      <c r="K23" s="44"/>
    </row>
    <row r="24" spans="1:11" ht="12.5" x14ac:dyDescent="0.25">
      <c r="A24" s="37">
        <v>45617</v>
      </c>
      <c r="B24" s="38" t="s">
        <v>54</v>
      </c>
      <c r="C24" s="39" t="s">
        <v>251</v>
      </c>
      <c r="D24" s="38" t="s">
        <v>94</v>
      </c>
      <c r="E24" s="40" t="s">
        <v>66</v>
      </c>
      <c r="F24" s="40" t="s">
        <v>104</v>
      </c>
      <c r="G24" s="41">
        <v>1</v>
      </c>
      <c r="H24" s="41">
        <v>1</v>
      </c>
      <c r="I24" s="41">
        <f t="shared" si="0"/>
        <v>0</v>
      </c>
      <c r="J24" s="45"/>
      <c r="K24" s="44"/>
    </row>
    <row r="25" spans="1:11" ht="12.5" x14ac:dyDescent="0.25">
      <c r="A25" s="37">
        <v>45617</v>
      </c>
      <c r="B25" s="38" t="s">
        <v>54</v>
      </c>
      <c r="C25" s="39" t="s">
        <v>251</v>
      </c>
      <c r="D25" s="38" t="s">
        <v>93</v>
      </c>
      <c r="E25" s="40" t="s">
        <v>66</v>
      </c>
      <c r="F25" s="40" t="s">
        <v>104</v>
      </c>
      <c r="G25" s="41">
        <v>1</v>
      </c>
      <c r="H25" s="41">
        <v>1</v>
      </c>
      <c r="I25" s="41">
        <f t="shared" si="0"/>
        <v>0</v>
      </c>
      <c r="J25" s="45"/>
      <c r="K25" s="44"/>
    </row>
    <row r="26" spans="1:11" ht="12.5" x14ac:dyDescent="0.25">
      <c r="A26" s="37">
        <v>45617</v>
      </c>
      <c r="B26" s="38" t="s">
        <v>54</v>
      </c>
      <c r="C26" s="39" t="s">
        <v>251</v>
      </c>
      <c r="D26" s="38" t="s">
        <v>95</v>
      </c>
      <c r="E26" s="40" t="s">
        <v>66</v>
      </c>
      <c r="F26" s="40" t="s">
        <v>104</v>
      </c>
      <c r="G26" s="41">
        <v>2</v>
      </c>
      <c r="H26" s="41">
        <v>2</v>
      </c>
      <c r="I26" s="41">
        <f t="shared" si="0"/>
        <v>0</v>
      </c>
      <c r="J26" s="45"/>
      <c r="K26" s="44"/>
    </row>
    <row r="27" spans="1:11" ht="12.5" x14ac:dyDescent="0.25">
      <c r="A27" s="37">
        <v>45617</v>
      </c>
      <c r="B27" s="38" t="s">
        <v>54</v>
      </c>
      <c r="C27" s="39" t="s">
        <v>251</v>
      </c>
      <c r="D27" s="38" t="s">
        <v>96</v>
      </c>
      <c r="E27" s="40" t="s">
        <v>66</v>
      </c>
      <c r="F27" s="40" t="s">
        <v>104</v>
      </c>
      <c r="G27" s="41">
        <v>2</v>
      </c>
      <c r="H27" s="41">
        <v>2</v>
      </c>
      <c r="I27" s="41">
        <f t="shared" si="0"/>
        <v>0</v>
      </c>
      <c r="J27" s="45"/>
      <c r="K27" s="44"/>
    </row>
    <row r="28" spans="1:11" ht="12.5" x14ac:dyDescent="0.25">
      <c r="A28" s="37">
        <v>45617</v>
      </c>
      <c r="B28" s="38" t="s">
        <v>54</v>
      </c>
      <c r="C28" s="39" t="s">
        <v>251</v>
      </c>
      <c r="D28" s="38" t="s">
        <v>97</v>
      </c>
      <c r="E28" s="40" t="s">
        <v>66</v>
      </c>
      <c r="F28" s="40" t="s">
        <v>104</v>
      </c>
      <c r="G28" s="41">
        <v>1</v>
      </c>
      <c r="H28" s="41">
        <v>1</v>
      </c>
      <c r="I28" s="41">
        <f t="shared" si="0"/>
        <v>0</v>
      </c>
      <c r="J28" s="45"/>
      <c r="K28" s="44"/>
    </row>
    <row r="29" spans="1:11" ht="12.5" x14ac:dyDescent="0.25">
      <c r="A29" s="37">
        <v>45617</v>
      </c>
      <c r="B29" s="38" t="s">
        <v>54</v>
      </c>
      <c r="C29" s="39" t="s">
        <v>251</v>
      </c>
      <c r="D29" s="38" t="s">
        <v>98</v>
      </c>
      <c r="E29" s="40" t="s">
        <v>55</v>
      </c>
      <c r="F29" s="40" t="s">
        <v>104</v>
      </c>
      <c r="G29" s="41">
        <v>1</v>
      </c>
      <c r="H29" s="41">
        <v>0.5</v>
      </c>
      <c r="I29" s="41">
        <f t="shared" si="0"/>
        <v>-0.5</v>
      </c>
      <c r="J29" s="53" t="s">
        <v>105</v>
      </c>
      <c r="K29" s="44"/>
    </row>
    <row r="30" spans="1:11" ht="12.5" x14ac:dyDescent="0.25">
      <c r="A30" s="37">
        <v>45617</v>
      </c>
      <c r="B30" s="38" t="s">
        <v>54</v>
      </c>
      <c r="C30" s="39" t="s">
        <v>63</v>
      </c>
      <c r="D30" s="38" t="s">
        <v>106</v>
      </c>
      <c r="E30" s="40" t="s">
        <v>63</v>
      </c>
      <c r="F30" s="40" t="s">
        <v>86</v>
      </c>
      <c r="G30" s="41">
        <v>0.5</v>
      </c>
      <c r="H30" s="41">
        <v>0.5</v>
      </c>
      <c r="I30" s="41">
        <f t="shared" si="0"/>
        <v>0</v>
      </c>
      <c r="J30" s="45"/>
      <c r="K30" s="44"/>
    </row>
    <row r="31" spans="1:11" ht="12.5" x14ac:dyDescent="0.25">
      <c r="A31" s="37">
        <v>45618</v>
      </c>
      <c r="B31" s="38" t="s">
        <v>54</v>
      </c>
      <c r="C31" s="39" t="s">
        <v>79</v>
      </c>
      <c r="D31" s="38" t="s">
        <v>252</v>
      </c>
      <c r="E31" s="40" t="s">
        <v>61</v>
      </c>
      <c r="F31" s="40" t="s">
        <v>86</v>
      </c>
      <c r="G31" s="41">
        <v>0.25</v>
      </c>
      <c r="H31" s="41">
        <v>0.25</v>
      </c>
      <c r="I31" s="41">
        <f t="shared" si="0"/>
        <v>0</v>
      </c>
      <c r="J31" s="45"/>
      <c r="K31" s="44"/>
    </row>
    <row r="32" spans="1:11" ht="12.5" x14ac:dyDescent="0.25">
      <c r="A32" s="37">
        <v>45618</v>
      </c>
      <c r="B32" s="38" t="s">
        <v>54</v>
      </c>
      <c r="C32" s="39" t="s">
        <v>77</v>
      </c>
      <c r="D32" s="38" t="s">
        <v>254</v>
      </c>
      <c r="E32" s="40" t="s">
        <v>46</v>
      </c>
      <c r="F32" s="40" t="s">
        <v>86</v>
      </c>
      <c r="G32" s="41">
        <v>0.25</v>
      </c>
      <c r="H32" s="41">
        <v>0.25</v>
      </c>
      <c r="I32" s="41">
        <f t="shared" si="0"/>
        <v>0</v>
      </c>
      <c r="J32" s="45"/>
      <c r="K32" s="44"/>
    </row>
    <row r="33" spans="1:11" ht="12.5" x14ac:dyDescent="0.25">
      <c r="A33" s="37">
        <v>45618</v>
      </c>
      <c r="B33" s="38" t="s">
        <v>54</v>
      </c>
      <c r="C33" s="39" t="s">
        <v>255</v>
      </c>
      <c r="D33" s="38" t="s">
        <v>108</v>
      </c>
      <c r="E33" s="40" t="s">
        <v>46</v>
      </c>
      <c r="F33" s="40" t="s">
        <v>104</v>
      </c>
      <c r="G33" s="41">
        <v>1</v>
      </c>
      <c r="H33" s="41">
        <v>1</v>
      </c>
      <c r="I33" s="41">
        <f t="shared" si="0"/>
        <v>0</v>
      </c>
      <c r="J33" s="45"/>
      <c r="K33" s="44"/>
    </row>
    <row r="34" spans="1:11" ht="12.5" x14ac:dyDescent="0.25">
      <c r="A34" s="37">
        <v>45618</v>
      </c>
      <c r="B34" s="38" t="s">
        <v>54</v>
      </c>
      <c r="C34" s="39" t="s">
        <v>255</v>
      </c>
      <c r="D34" s="38" t="s">
        <v>99</v>
      </c>
      <c r="E34" s="40" t="s">
        <v>66</v>
      </c>
      <c r="F34" s="40" t="s">
        <v>104</v>
      </c>
      <c r="G34" s="41">
        <v>0.5</v>
      </c>
      <c r="H34" s="41">
        <v>0.5</v>
      </c>
      <c r="I34" s="41">
        <f t="shared" si="0"/>
        <v>0</v>
      </c>
      <c r="J34" s="45"/>
      <c r="K34" s="44"/>
    </row>
    <row r="35" spans="1:11" ht="12.5" x14ac:dyDescent="0.25">
      <c r="A35" s="37">
        <v>45618</v>
      </c>
      <c r="B35" s="38" t="s">
        <v>54</v>
      </c>
      <c r="C35" s="39" t="s">
        <v>255</v>
      </c>
      <c r="D35" s="38" t="s">
        <v>100</v>
      </c>
      <c r="E35" s="40" t="s">
        <v>49</v>
      </c>
      <c r="F35" s="40" t="s">
        <v>104</v>
      </c>
      <c r="G35" s="41">
        <v>1</v>
      </c>
      <c r="H35" s="41">
        <v>1</v>
      </c>
      <c r="I35" s="41">
        <f t="shared" si="0"/>
        <v>0</v>
      </c>
      <c r="J35" s="45"/>
      <c r="K35" s="44"/>
    </row>
    <row r="36" spans="1:11" ht="12.5" x14ac:dyDescent="0.25">
      <c r="A36" s="37">
        <v>45618</v>
      </c>
      <c r="B36" s="38" t="s">
        <v>48</v>
      </c>
      <c r="C36" s="39" t="s">
        <v>255</v>
      </c>
      <c r="D36" s="38" t="s">
        <v>109</v>
      </c>
      <c r="E36" s="40" t="s">
        <v>52</v>
      </c>
      <c r="F36" s="40" t="s">
        <v>104</v>
      </c>
      <c r="G36" s="41">
        <v>0.5</v>
      </c>
      <c r="H36" s="41">
        <v>0.5</v>
      </c>
      <c r="I36" s="41">
        <f t="shared" si="0"/>
        <v>0</v>
      </c>
      <c r="J36" s="45"/>
      <c r="K36" s="44" t="s">
        <v>111</v>
      </c>
    </row>
    <row r="37" spans="1:11" ht="12.5" x14ac:dyDescent="0.25">
      <c r="A37" s="37">
        <v>45618</v>
      </c>
      <c r="B37" s="38" t="s">
        <v>54</v>
      </c>
      <c r="C37" s="39" t="s">
        <v>255</v>
      </c>
      <c r="D37" s="38" t="s">
        <v>110</v>
      </c>
      <c r="E37" s="40" t="s">
        <v>49</v>
      </c>
      <c r="F37" s="40" t="s">
        <v>104</v>
      </c>
      <c r="G37" s="41">
        <v>1</v>
      </c>
      <c r="H37" s="41">
        <v>1</v>
      </c>
      <c r="I37" s="41">
        <f t="shared" si="0"/>
        <v>0</v>
      </c>
      <c r="J37" s="45"/>
      <c r="K37" s="44"/>
    </row>
    <row r="38" spans="1:11" ht="12.5" x14ac:dyDescent="0.25">
      <c r="A38" s="37">
        <v>45618</v>
      </c>
      <c r="B38" s="38" t="s">
        <v>54</v>
      </c>
      <c r="C38" s="39" t="s">
        <v>255</v>
      </c>
      <c r="D38" s="38" t="s">
        <v>101</v>
      </c>
      <c r="E38" s="40" t="s">
        <v>49</v>
      </c>
      <c r="F38" s="40" t="s">
        <v>104</v>
      </c>
      <c r="G38" s="41">
        <v>1</v>
      </c>
      <c r="H38" s="41">
        <v>1</v>
      </c>
      <c r="I38" s="41">
        <f t="shared" si="0"/>
        <v>0</v>
      </c>
      <c r="J38" s="45"/>
      <c r="K38" s="44"/>
    </row>
    <row r="39" spans="1:11" ht="12.5" x14ac:dyDescent="0.25">
      <c r="A39" s="37">
        <v>45618</v>
      </c>
      <c r="B39" s="38" t="s">
        <v>60</v>
      </c>
      <c r="C39" s="39" t="s">
        <v>255</v>
      </c>
      <c r="D39" s="38" t="s">
        <v>114</v>
      </c>
      <c r="E39" s="40" t="s">
        <v>49</v>
      </c>
      <c r="F39" s="40" t="s">
        <v>104</v>
      </c>
      <c r="G39" s="41">
        <v>1</v>
      </c>
      <c r="H39" s="41">
        <v>1</v>
      </c>
      <c r="I39" s="41">
        <f t="shared" si="0"/>
        <v>0</v>
      </c>
      <c r="J39" s="45"/>
      <c r="K39" s="44" t="s">
        <v>141</v>
      </c>
    </row>
    <row r="40" spans="1:11" ht="12.5" x14ac:dyDescent="0.25">
      <c r="A40" s="37">
        <v>45618</v>
      </c>
      <c r="B40" s="38" t="s">
        <v>54</v>
      </c>
      <c r="C40" s="39" t="s">
        <v>255</v>
      </c>
      <c r="D40" s="38" t="s">
        <v>103</v>
      </c>
      <c r="E40" s="40" t="s">
        <v>49</v>
      </c>
      <c r="F40" s="40" t="s">
        <v>104</v>
      </c>
      <c r="G40" s="41">
        <v>4</v>
      </c>
      <c r="H40" s="41">
        <v>4</v>
      </c>
      <c r="I40" s="41">
        <f t="shared" si="0"/>
        <v>0</v>
      </c>
      <c r="J40" s="45"/>
      <c r="K40" s="44"/>
    </row>
    <row r="41" spans="1:11" ht="12.5" x14ac:dyDescent="0.25">
      <c r="A41" s="37"/>
      <c r="B41" s="38" t="s">
        <v>42</v>
      </c>
      <c r="C41" s="39" t="s">
        <v>255</v>
      </c>
      <c r="D41" s="38" t="s">
        <v>112</v>
      </c>
      <c r="E41" s="40" t="s">
        <v>58</v>
      </c>
      <c r="F41" s="40" t="s">
        <v>104</v>
      </c>
      <c r="G41" s="41">
        <v>4</v>
      </c>
      <c r="H41" s="41"/>
      <c r="I41" s="41">
        <f t="shared" si="0"/>
        <v>-4</v>
      </c>
      <c r="J41" s="45"/>
      <c r="K41" s="44"/>
    </row>
    <row r="42" spans="1:11" ht="12.5" x14ac:dyDescent="0.25">
      <c r="A42" s="37"/>
      <c r="B42" s="38" t="s">
        <v>42</v>
      </c>
      <c r="C42" s="39" t="s">
        <v>255</v>
      </c>
      <c r="D42" s="38" t="s">
        <v>113</v>
      </c>
      <c r="E42" s="40" t="s">
        <v>58</v>
      </c>
      <c r="F42" s="40" t="s">
        <v>104</v>
      </c>
      <c r="G42" s="41">
        <v>4</v>
      </c>
      <c r="H42" s="41"/>
      <c r="I42" s="41">
        <f t="shared" si="0"/>
        <v>-4</v>
      </c>
      <c r="J42" s="45"/>
      <c r="K42" s="44"/>
    </row>
    <row r="43" spans="1:11" ht="12.5" x14ac:dyDescent="0.25">
      <c r="A43" s="37"/>
      <c r="B43" s="38" t="s">
        <v>42</v>
      </c>
      <c r="C43" s="39" t="s">
        <v>79</v>
      </c>
      <c r="D43" s="38" t="s">
        <v>107</v>
      </c>
      <c r="E43" s="40" t="s">
        <v>63</v>
      </c>
      <c r="F43" s="40" t="s">
        <v>86</v>
      </c>
      <c r="G43" s="41">
        <v>0.5</v>
      </c>
      <c r="H43" s="41"/>
      <c r="I43" s="41">
        <f t="shared" si="0"/>
        <v>-0.5</v>
      </c>
      <c r="J43" s="45"/>
      <c r="K43" s="44"/>
    </row>
    <row r="44" spans="1:11" ht="12.5" x14ac:dyDescent="0.25">
      <c r="A44" s="37">
        <v>45618</v>
      </c>
      <c r="B44" s="38" t="s">
        <v>54</v>
      </c>
      <c r="C44" s="39" t="s">
        <v>207</v>
      </c>
      <c r="D44" s="38" t="s">
        <v>102</v>
      </c>
      <c r="E44" s="40" t="s">
        <v>63</v>
      </c>
      <c r="F44" s="40" t="s">
        <v>87</v>
      </c>
      <c r="G44" s="41">
        <v>0.5</v>
      </c>
      <c r="H44" s="41">
        <v>0.25</v>
      </c>
      <c r="I44" s="41">
        <f t="shared" si="0"/>
        <v>-0.25</v>
      </c>
      <c r="J44" s="45"/>
      <c r="K44" s="44"/>
    </row>
    <row r="45" spans="1:11" ht="12.5" x14ac:dyDescent="0.25">
      <c r="A45" s="37"/>
      <c r="B45" s="38" t="s">
        <v>42</v>
      </c>
      <c r="C45" s="39" t="s">
        <v>207</v>
      </c>
      <c r="D45" s="38" t="s">
        <v>142</v>
      </c>
      <c r="E45" s="40" t="s">
        <v>63</v>
      </c>
      <c r="F45" s="40" t="s">
        <v>87</v>
      </c>
      <c r="G45" s="41">
        <v>0.5</v>
      </c>
      <c r="H45" s="41"/>
      <c r="I45" s="41">
        <f t="shared" si="0"/>
        <v>-0.5</v>
      </c>
      <c r="J45" s="45"/>
      <c r="K45" s="44"/>
    </row>
    <row r="46" spans="1:11" ht="12.5"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64" t="s">
        <v>19</v>
      </c>
      <c r="B47" s="59"/>
      <c r="C47" s="59"/>
      <c r="D47" s="59"/>
      <c r="E47" s="59"/>
      <c r="F47" s="59"/>
      <c r="G47" s="59"/>
      <c r="H47" s="59"/>
      <c r="I47" s="59"/>
      <c r="J47" s="59"/>
      <c r="K47" s="60"/>
    </row>
    <row r="48" spans="1:11" ht="12.5" x14ac:dyDescent="0.25">
      <c r="A48" s="31" t="s">
        <v>12</v>
      </c>
      <c r="B48" s="65" t="s">
        <v>13</v>
      </c>
      <c r="C48" s="62"/>
      <c r="D48" s="62"/>
      <c r="E48" s="62"/>
      <c r="F48" s="62"/>
      <c r="G48" s="62"/>
      <c r="H48" s="62"/>
      <c r="I48" s="62"/>
      <c r="J48" s="62"/>
      <c r="K48" s="63"/>
    </row>
    <row r="49" spans="1:11" ht="27.75" customHeight="1" x14ac:dyDescent="0.25">
      <c r="A49" s="20" t="s">
        <v>14</v>
      </c>
      <c r="B49" s="65" t="s">
        <v>20</v>
      </c>
      <c r="C49" s="62"/>
      <c r="D49" s="62"/>
      <c r="E49" s="62"/>
      <c r="F49" s="62"/>
      <c r="G49" s="62"/>
      <c r="H49" s="62"/>
      <c r="I49" s="62"/>
      <c r="J49" s="62"/>
      <c r="K49" s="63"/>
    </row>
    <row r="50" spans="1:11" ht="12.5" x14ac:dyDescent="0.25">
      <c r="A50" s="47">
        <v>45621</v>
      </c>
      <c r="B50" s="38" t="s">
        <v>54</v>
      </c>
      <c r="C50" s="39" t="s">
        <v>79</v>
      </c>
      <c r="D50" s="38" t="s">
        <v>256</v>
      </c>
      <c r="E50" s="40" t="s">
        <v>63</v>
      </c>
      <c r="F50" s="40" t="s">
        <v>86</v>
      </c>
      <c r="G50" s="41">
        <v>0.5</v>
      </c>
      <c r="H50" s="41">
        <v>0.5</v>
      </c>
      <c r="I50" s="41">
        <f t="shared" ref="I50:I82" si="1">H50-G50</f>
        <v>0</v>
      </c>
      <c r="J50" s="45"/>
      <c r="K50" s="43"/>
    </row>
    <row r="51" spans="1:11" ht="12.5" x14ac:dyDescent="0.25">
      <c r="A51" s="47">
        <v>45621</v>
      </c>
      <c r="B51" s="38" t="s">
        <v>54</v>
      </c>
      <c r="C51" s="39" t="s">
        <v>257</v>
      </c>
      <c r="D51" s="38" t="s">
        <v>115</v>
      </c>
      <c r="E51" s="40" t="s">
        <v>66</v>
      </c>
      <c r="F51" s="40" t="s">
        <v>104</v>
      </c>
      <c r="G51" s="41">
        <v>1</v>
      </c>
      <c r="H51" s="41">
        <v>1</v>
      </c>
      <c r="I51" s="41">
        <f t="shared" si="1"/>
        <v>0</v>
      </c>
      <c r="J51" s="45"/>
      <c r="K51" s="43"/>
    </row>
    <row r="52" spans="1:11" ht="12.5" x14ac:dyDescent="0.25">
      <c r="A52" s="47">
        <v>45621</v>
      </c>
      <c r="B52" s="38" t="s">
        <v>54</v>
      </c>
      <c r="C52" s="39" t="s">
        <v>257</v>
      </c>
      <c r="D52" s="38" t="s">
        <v>116</v>
      </c>
      <c r="E52" s="40" t="s">
        <v>66</v>
      </c>
      <c r="F52" s="40" t="s">
        <v>104</v>
      </c>
      <c r="G52" s="41">
        <v>2</v>
      </c>
      <c r="H52" s="41">
        <v>2</v>
      </c>
      <c r="I52" s="41">
        <f t="shared" si="1"/>
        <v>0</v>
      </c>
      <c r="J52" s="45"/>
      <c r="K52" s="43"/>
    </row>
    <row r="53" spans="1:11" ht="12.5" x14ac:dyDescent="0.25">
      <c r="A53" s="47">
        <v>45621</v>
      </c>
      <c r="B53" s="38" t="s">
        <v>54</v>
      </c>
      <c r="C53" s="39" t="s">
        <v>257</v>
      </c>
      <c r="D53" s="38" t="s">
        <v>117</v>
      </c>
      <c r="E53" s="40" t="s">
        <v>66</v>
      </c>
      <c r="F53" s="40" t="s">
        <v>104</v>
      </c>
      <c r="G53" s="41">
        <v>2</v>
      </c>
      <c r="H53" s="41">
        <v>2</v>
      </c>
      <c r="I53" s="41">
        <f t="shared" si="1"/>
        <v>0</v>
      </c>
      <c r="J53" s="45"/>
      <c r="K53" s="43"/>
    </row>
    <row r="54" spans="1:11" ht="12.5" x14ac:dyDescent="0.25">
      <c r="A54" s="47">
        <v>45621</v>
      </c>
      <c r="B54" s="38" t="s">
        <v>54</v>
      </c>
      <c r="C54" s="39" t="s">
        <v>257</v>
      </c>
      <c r="D54" s="38" t="s">
        <v>118</v>
      </c>
      <c r="E54" s="40" t="s">
        <v>66</v>
      </c>
      <c r="F54" s="40" t="s">
        <v>104</v>
      </c>
      <c r="G54" s="41">
        <v>1.5</v>
      </c>
      <c r="H54" s="41">
        <v>1.5</v>
      </c>
      <c r="I54" s="41">
        <f t="shared" si="1"/>
        <v>0</v>
      </c>
      <c r="J54" s="45"/>
      <c r="K54" s="43"/>
    </row>
    <row r="55" spans="1:11" ht="12.5" x14ac:dyDescent="0.25">
      <c r="A55" s="47">
        <v>45621</v>
      </c>
      <c r="B55" s="38" t="s">
        <v>54</v>
      </c>
      <c r="C55" s="39" t="s">
        <v>257</v>
      </c>
      <c r="D55" s="38" t="s">
        <v>119</v>
      </c>
      <c r="E55" s="40" t="s">
        <v>66</v>
      </c>
      <c r="F55" s="40" t="s">
        <v>104</v>
      </c>
      <c r="G55" s="41">
        <v>1</v>
      </c>
      <c r="H55" s="41">
        <v>1</v>
      </c>
      <c r="I55" s="41">
        <f t="shared" si="1"/>
        <v>0</v>
      </c>
      <c r="J55" s="45"/>
      <c r="K55" s="43"/>
    </row>
    <row r="56" spans="1:11" ht="12.5" x14ac:dyDescent="0.25">
      <c r="A56" s="47">
        <v>45621</v>
      </c>
      <c r="B56" s="38" t="s">
        <v>54</v>
      </c>
      <c r="C56" s="39" t="s">
        <v>257</v>
      </c>
      <c r="D56" s="38" t="s">
        <v>120</v>
      </c>
      <c r="E56" s="40" t="s">
        <v>55</v>
      </c>
      <c r="F56" s="40" t="s">
        <v>104</v>
      </c>
      <c r="G56" s="41">
        <v>0.5</v>
      </c>
      <c r="H56" s="41">
        <v>0.5</v>
      </c>
      <c r="I56" s="41">
        <f t="shared" si="1"/>
        <v>0</v>
      </c>
      <c r="J56" s="45"/>
      <c r="K56" s="43"/>
    </row>
    <row r="57" spans="1:11" ht="12.5" x14ac:dyDescent="0.25">
      <c r="A57" s="47">
        <v>45622</v>
      </c>
      <c r="B57" s="38" t="s">
        <v>54</v>
      </c>
      <c r="C57" s="39" t="s">
        <v>207</v>
      </c>
      <c r="D57" s="38" t="s">
        <v>121</v>
      </c>
      <c r="E57" s="40" t="s">
        <v>61</v>
      </c>
      <c r="F57" s="40" t="s">
        <v>86</v>
      </c>
      <c r="G57" s="41">
        <v>0.5</v>
      </c>
      <c r="H57" s="41">
        <v>0.5</v>
      </c>
      <c r="I57" s="41">
        <f t="shared" si="1"/>
        <v>0</v>
      </c>
      <c r="J57" s="45"/>
      <c r="K57" s="43"/>
    </row>
    <row r="58" spans="1:11" ht="12.5" x14ac:dyDescent="0.25">
      <c r="A58" s="47">
        <v>45622</v>
      </c>
      <c r="B58" s="38" t="s">
        <v>54</v>
      </c>
      <c r="C58" s="39" t="s">
        <v>77</v>
      </c>
      <c r="D58" s="38" t="s">
        <v>122</v>
      </c>
      <c r="E58" s="40" t="s">
        <v>46</v>
      </c>
      <c r="F58" s="40" t="s">
        <v>87</v>
      </c>
      <c r="G58" s="41">
        <v>0.25</v>
      </c>
      <c r="H58" s="41">
        <v>0.25</v>
      </c>
      <c r="I58" s="41">
        <f t="shared" si="1"/>
        <v>0</v>
      </c>
      <c r="J58" s="45"/>
      <c r="K58" s="43"/>
    </row>
    <row r="59" spans="1:11" ht="12.5" x14ac:dyDescent="0.25">
      <c r="A59" s="47">
        <v>45622</v>
      </c>
      <c r="B59" s="38" t="s">
        <v>54</v>
      </c>
      <c r="C59" s="39" t="s">
        <v>246</v>
      </c>
      <c r="D59" s="38" t="s">
        <v>123</v>
      </c>
      <c r="E59" s="40" t="s">
        <v>49</v>
      </c>
      <c r="F59" s="40" t="s">
        <v>104</v>
      </c>
      <c r="G59" s="41">
        <v>0.5</v>
      </c>
      <c r="H59" s="41">
        <v>0.5</v>
      </c>
      <c r="I59" s="41">
        <f t="shared" si="1"/>
        <v>0</v>
      </c>
      <c r="J59" s="45"/>
      <c r="K59" s="43" t="s">
        <v>124</v>
      </c>
    </row>
    <row r="60" spans="1:11" ht="12.5" x14ac:dyDescent="0.25">
      <c r="A60" s="47">
        <v>45622</v>
      </c>
      <c r="B60" s="38" t="s">
        <v>54</v>
      </c>
      <c r="C60" s="39" t="s">
        <v>246</v>
      </c>
      <c r="D60" s="38" t="s">
        <v>125</v>
      </c>
      <c r="E60" s="40" t="s">
        <v>66</v>
      </c>
      <c r="F60" s="40" t="s">
        <v>104</v>
      </c>
      <c r="G60" s="41">
        <v>0.5</v>
      </c>
      <c r="H60" s="41">
        <v>0.5</v>
      </c>
      <c r="I60" s="41">
        <f t="shared" si="1"/>
        <v>0</v>
      </c>
      <c r="J60" s="45"/>
      <c r="K60" s="43"/>
    </row>
    <row r="61" spans="1:11" ht="12.5" x14ac:dyDescent="0.25">
      <c r="A61" s="47">
        <v>45622</v>
      </c>
      <c r="B61" s="38" t="s">
        <v>54</v>
      </c>
      <c r="C61" s="39" t="s">
        <v>246</v>
      </c>
      <c r="D61" s="38" t="s">
        <v>126</v>
      </c>
      <c r="E61" s="40" t="s">
        <v>66</v>
      </c>
      <c r="F61" s="40" t="s">
        <v>104</v>
      </c>
      <c r="G61" s="41">
        <v>0.5</v>
      </c>
      <c r="H61" s="41">
        <v>2.35</v>
      </c>
      <c r="I61" s="41">
        <f t="shared" si="1"/>
        <v>1.85</v>
      </c>
      <c r="J61" s="45"/>
      <c r="K61" s="43" t="s">
        <v>131</v>
      </c>
    </row>
    <row r="62" spans="1:11" ht="12.5" x14ac:dyDescent="0.25">
      <c r="A62" s="47">
        <v>45622</v>
      </c>
      <c r="B62" s="38" t="s">
        <v>54</v>
      </c>
      <c r="C62" s="39" t="s">
        <v>246</v>
      </c>
      <c r="D62" s="38" t="s">
        <v>127</v>
      </c>
      <c r="E62" s="40" t="s">
        <v>49</v>
      </c>
      <c r="F62" s="40" t="s">
        <v>104</v>
      </c>
      <c r="G62" s="41">
        <v>0.1</v>
      </c>
      <c r="H62" s="41">
        <v>0.1</v>
      </c>
      <c r="I62" s="41">
        <f t="shared" si="1"/>
        <v>0</v>
      </c>
      <c r="J62" s="45"/>
      <c r="K62" s="43" t="s">
        <v>128</v>
      </c>
    </row>
    <row r="63" spans="1:11" ht="12.5" x14ac:dyDescent="0.25">
      <c r="A63" s="47">
        <v>45622</v>
      </c>
      <c r="B63" s="38" t="s">
        <v>45</v>
      </c>
      <c r="C63" s="39" t="s">
        <v>246</v>
      </c>
      <c r="D63" s="38" t="s">
        <v>129</v>
      </c>
      <c r="E63" s="40" t="s">
        <v>45</v>
      </c>
      <c r="F63" s="40" t="s">
        <v>104</v>
      </c>
      <c r="G63" s="41">
        <v>0</v>
      </c>
      <c r="H63" s="41">
        <v>0.1</v>
      </c>
      <c r="I63" s="41">
        <f t="shared" si="1"/>
        <v>0.1</v>
      </c>
      <c r="J63" s="45"/>
      <c r="K63" s="43" t="s">
        <v>130</v>
      </c>
    </row>
    <row r="64" spans="1:11" ht="12.5" x14ac:dyDescent="0.25">
      <c r="A64" s="47">
        <v>45622</v>
      </c>
      <c r="B64" s="38" t="s">
        <v>54</v>
      </c>
      <c r="C64" s="39" t="s">
        <v>246</v>
      </c>
      <c r="D64" s="38" t="s">
        <v>132</v>
      </c>
      <c r="E64" s="40" t="s">
        <v>49</v>
      </c>
      <c r="F64" s="40" t="s">
        <v>104</v>
      </c>
      <c r="G64" s="41">
        <v>4</v>
      </c>
      <c r="H64" s="41">
        <v>3.55</v>
      </c>
      <c r="I64" s="41">
        <f t="shared" si="1"/>
        <v>-0.45000000000000018</v>
      </c>
      <c r="J64" s="45"/>
      <c r="K64" s="43"/>
    </row>
    <row r="65" spans="1:11" ht="12.5" x14ac:dyDescent="0.25">
      <c r="A65" s="47">
        <v>45623</v>
      </c>
      <c r="B65" s="38" t="s">
        <v>54</v>
      </c>
      <c r="C65" s="39" t="s">
        <v>258</v>
      </c>
      <c r="D65" s="38" t="s">
        <v>147</v>
      </c>
      <c r="E65" s="40" t="s">
        <v>66</v>
      </c>
      <c r="F65" s="40" t="s">
        <v>104</v>
      </c>
      <c r="G65" s="41">
        <v>3</v>
      </c>
      <c r="H65" s="41">
        <v>3</v>
      </c>
      <c r="I65" s="41">
        <f t="shared" si="1"/>
        <v>0</v>
      </c>
      <c r="J65" s="45"/>
      <c r="K65" s="43"/>
    </row>
    <row r="66" spans="1:11" ht="12.5" x14ac:dyDescent="0.25">
      <c r="A66" s="47">
        <v>45623</v>
      </c>
      <c r="B66" s="38" t="s">
        <v>54</v>
      </c>
      <c r="C66" s="39" t="s">
        <v>258</v>
      </c>
      <c r="D66" s="38" t="s">
        <v>148</v>
      </c>
      <c r="E66" s="40" t="s">
        <v>52</v>
      </c>
      <c r="F66" s="40" t="s">
        <v>104</v>
      </c>
      <c r="G66" s="41">
        <v>2</v>
      </c>
      <c r="H66" s="41">
        <v>2</v>
      </c>
      <c r="I66" s="41">
        <f t="shared" si="1"/>
        <v>0</v>
      </c>
      <c r="J66" s="45"/>
      <c r="K66" s="43"/>
    </row>
    <row r="67" spans="1:11" ht="12.5" x14ac:dyDescent="0.25">
      <c r="A67" s="47">
        <v>45623</v>
      </c>
      <c r="B67" s="38" t="s">
        <v>42</v>
      </c>
      <c r="C67" s="39" t="s">
        <v>258</v>
      </c>
      <c r="D67" s="38" t="s">
        <v>146</v>
      </c>
      <c r="E67" s="40" t="s">
        <v>55</v>
      </c>
      <c r="F67" s="40" t="s">
        <v>104</v>
      </c>
      <c r="G67" s="41">
        <v>1</v>
      </c>
      <c r="H67" s="41"/>
      <c r="I67" s="41">
        <f t="shared" si="1"/>
        <v>-1</v>
      </c>
      <c r="J67" s="45"/>
      <c r="K67" s="43"/>
    </row>
    <row r="68" spans="1:11" ht="12.5" x14ac:dyDescent="0.25">
      <c r="A68" s="47">
        <v>45624</v>
      </c>
      <c r="B68" s="38" t="s">
        <v>54</v>
      </c>
      <c r="C68" s="39" t="s">
        <v>246</v>
      </c>
      <c r="D68" s="38" t="s">
        <v>133</v>
      </c>
      <c r="E68" s="40" t="s">
        <v>58</v>
      </c>
      <c r="F68" s="40" t="s">
        <v>104</v>
      </c>
      <c r="G68" s="41">
        <v>4</v>
      </c>
      <c r="H68" s="41">
        <v>4</v>
      </c>
      <c r="I68" s="41">
        <f t="shared" si="1"/>
        <v>0</v>
      </c>
      <c r="J68" s="45"/>
      <c r="K68" s="43"/>
    </row>
    <row r="69" spans="1:11" ht="12.5" x14ac:dyDescent="0.25">
      <c r="A69" s="47">
        <v>45624</v>
      </c>
      <c r="B69" s="38" t="s">
        <v>54</v>
      </c>
      <c r="C69" s="39" t="s">
        <v>259</v>
      </c>
      <c r="D69" s="38" t="s">
        <v>135</v>
      </c>
      <c r="E69" s="40" t="s">
        <v>52</v>
      </c>
      <c r="F69" s="40" t="s">
        <v>104</v>
      </c>
      <c r="G69" s="41">
        <v>0.25</v>
      </c>
      <c r="H69" s="41">
        <v>0.25</v>
      </c>
      <c r="I69" s="41">
        <f t="shared" si="1"/>
        <v>0</v>
      </c>
      <c r="J69" s="45"/>
      <c r="K69" s="43"/>
    </row>
    <row r="70" spans="1:11" ht="12.5" x14ac:dyDescent="0.25">
      <c r="A70" s="47" t="s">
        <v>136</v>
      </c>
      <c r="B70" s="38" t="s">
        <v>54</v>
      </c>
      <c r="C70" s="39" t="s">
        <v>261</v>
      </c>
      <c r="D70" s="38" t="s">
        <v>134</v>
      </c>
      <c r="E70" s="40" t="s">
        <v>63</v>
      </c>
      <c r="F70" s="40" t="s">
        <v>104</v>
      </c>
      <c r="G70" s="41">
        <v>1</v>
      </c>
      <c r="H70" s="41">
        <v>0.75</v>
      </c>
      <c r="I70" s="41">
        <f t="shared" si="1"/>
        <v>-0.25</v>
      </c>
      <c r="J70" s="45"/>
      <c r="K70" s="43"/>
    </row>
    <row r="71" spans="1:11" ht="12.5" x14ac:dyDescent="0.25">
      <c r="A71" s="47">
        <v>45625</v>
      </c>
      <c r="B71" s="38" t="s">
        <v>54</v>
      </c>
      <c r="C71" s="39" t="s">
        <v>77</v>
      </c>
      <c r="D71" s="38" t="s">
        <v>137</v>
      </c>
      <c r="E71" s="40" t="s">
        <v>46</v>
      </c>
      <c r="F71" s="40" t="s">
        <v>87</v>
      </c>
      <c r="G71" s="41">
        <v>0.25</v>
      </c>
      <c r="H71" s="41">
        <v>0.25</v>
      </c>
      <c r="I71" s="41">
        <f t="shared" si="1"/>
        <v>0</v>
      </c>
      <c r="J71" s="45"/>
      <c r="K71" s="43"/>
    </row>
    <row r="72" spans="1:11" ht="12.5" x14ac:dyDescent="0.25">
      <c r="A72" s="47">
        <v>45625</v>
      </c>
      <c r="B72" s="38" t="s">
        <v>54</v>
      </c>
      <c r="C72" s="39" t="s">
        <v>262</v>
      </c>
      <c r="D72" s="38" t="s">
        <v>138</v>
      </c>
      <c r="E72" s="40" t="s">
        <v>46</v>
      </c>
      <c r="F72" s="40" t="s">
        <v>104</v>
      </c>
      <c r="G72" s="41">
        <v>0.5</v>
      </c>
      <c r="H72" s="41">
        <v>0.5</v>
      </c>
      <c r="I72" s="41">
        <f t="shared" si="1"/>
        <v>0</v>
      </c>
      <c r="J72" s="45"/>
      <c r="K72" s="43"/>
    </row>
    <row r="73" spans="1:11" ht="12.5" x14ac:dyDescent="0.25">
      <c r="A73" s="47">
        <v>45625</v>
      </c>
      <c r="B73" s="38" t="s">
        <v>54</v>
      </c>
      <c r="C73" s="39" t="s">
        <v>65</v>
      </c>
      <c r="D73" s="38" t="s">
        <v>139</v>
      </c>
      <c r="E73" s="40" t="s">
        <v>65</v>
      </c>
      <c r="F73" s="40" t="s">
        <v>87</v>
      </c>
      <c r="G73" s="41">
        <v>1</v>
      </c>
      <c r="H73" s="41">
        <v>0.75</v>
      </c>
      <c r="I73" s="41">
        <f t="shared" si="1"/>
        <v>-0.25</v>
      </c>
      <c r="J73" s="45"/>
      <c r="K73" s="43"/>
    </row>
    <row r="74" spans="1:11" ht="12.5" x14ac:dyDescent="0.25">
      <c r="A74" s="47">
        <v>45625</v>
      </c>
      <c r="B74" s="38" t="s">
        <v>45</v>
      </c>
      <c r="C74" s="39" t="s">
        <v>263</v>
      </c>
      <c r="D74" s="38" t="s">
        <v>149</v>
      </c>
      <c r="E74" s="40" t="s">
        <v>45</v>
      </c>
      <c r="F74" s="40" t="s">
        <v>88</v>
      </c>
      <c r="G74" s="41">
        <v>0</v>
      </c>
      <c r="H74" s="41">
        <v>0.25</v>
      </c>
      <c r="I74" s="41">
        <f t="shared" si="1"/>
        <v>0.25</v>
      </c>
      <c r="J74" s="45"/>
      <c r="K74" s="43"/>
    </row>
    <row r="75" spans="1:11" ht="12.5" x14ac:dyDescent="0.25">
      <c r="A75" s="47">
        <v>45625</v>
      </c>
      <c r="B75" s="38" t="s">
        <v>54</v>
      </c>
      <c r="C75" s="39" t="s">
        <v>261</v>
      </c>
      <c r="D75" s="38" t="s">
        <v>140</v>
      </c>
      <c r="E75" s="40" t="s">
        <v>49</v>
      </c>
      <c r="F75" s="40" t="s">
        <v>104</v>
      </c>
      <c r="G75" s="41">
        <v>4</v>
      </c>
      <c r="H75" s="41">
        <v>3.5</v>
      </c>
      <c r="I75" s="41">
        <f t="shared" si="1"/>
        <v>-0.5</v>
      </c>
      <c r="J75" s="45"/>
      <c r="K75" s="43" t="s">
        <v>150</v>
      </c>
    </row>
    <row r="76" spans="1:11" ht="12.5" x14ac:dyDescent="0.25">
      <c r="A76" s="47">
        <v>45625</v>
      </c>
      <c r="B76" s="38" t="s">
        <v>54</v>
      </c>
      <c r="C76" s="39" t="s">
        <v>260</v>
      </c>
      <c r="D76" s="38" t="s">
        <v>151</v>
      </c>
      <c r="E76" s="40" t="s">
        <v>46</v>
      </c>
      <c r="F76" s="40" t="s">
        <v>86</v>
      </c>
      <c r="G76" s="41">
        <v>0.25</v>
      </c>
      <c r="H76" s="41">
        <v>0.33</v>
      </c>
      <c r="I76" s="41">
        <f t="shared" si="1"/>
        <v>8.0000000000000016E-2</v>
      </c>
      <c r="J76" s="45"/>
      <c r="K76" s="43"/>
    </row>
    <row r="77" spans="1:11" ht="12.5" x14ac:dyDescent="0.25">
      <c r="A77" s="47">
        <v>45625</v>
      </c>
      <c r="B77" s="38" t="s">
        <v>54</v>
      </c>
      <c r="C77" s="39" t="s">
        <v>207</v>
      </c>
      <c r="D77" s="38" t="s">
        <v>145</v>
      </c>
      <c r="E77" s="40" t="s">
        <v>63</v>
      </c>
      <c r="F77" s="40" t="s">
        <v>87</v>
      </c>
      <c r="G77" s="41">
        <v>0.25</v>
      </c>
      <c r="H77" s="41">
        <v>0.25</v>
      </c>
      <c r="I77" s="41">
        <f>H77-G77</f>
        <v>0</v>
      </c>
      <c r="J77" s="45"/>
      <c r="K77" s="43"/>
    </row>
    <row r="78" spans="1:11" ht="12.5" x14ac:dyDescent="0.25">
      <c r="A78" s="47">
        <v>45625</v>
      </c>
      <c r="B78" s="38" t="s">
        <v>54</v>
      </c>
      <c r="C78" s="39" t="s">
        <v>207</v>
      </c>
      <c r="D78" s="38" t="s">
        <v>152</v>
      </c>
      <c r="E78" s="40" t="s">
        <v>61</v>
      </c>
      <c r="F78" s="40" t="s">
        <v>87</v>
      </c>
      <c r="G78" s="41">
        <v>0.5</v>
      </c>
      <c r="H78" s="41">
        <v>0.5</v>
      </c>
      <c r="I78" s="41">
        <f t="shared" si="1"/>
        <v>0</v>
      </c>
      <c r="J78" s="45"/>
      <c r="K78" s="43" t="s">
        <v>163</v>
      </c>
    </row>
    <row r="79" spans="1:11" ht="12.5" x14ac:dyDescent="0.25">
      <c r="A79" s="47">
        <v>45625</v>
      </c>
      <c r="B79" s="38" t="s">
        <v>54</v>
      </c>
      <c r="C79" s="39" t="s">
        <v>207</v>
      </c>
      <c r="D79" s="38" t="s">
        <v>153</v>
      </c>
      <c r="E79" s="40" t="s">
        <v>61</v>
      </c>
      <c r="F79" s="40" t="s">
        <v>87</v>
      </c>
      <c r="G79" s="41">
        <v>0.5</v>
      </c>
      <c r="H79" s="41">
        <v>0.5</v>
      </c>
      <c r="I79" s="41">
        <f t="shared" si="1"/>
        <v>0</v>
      </c>
      <c r="J79" s="45"/>
      <c r="K79" s="43"/>
    </row>
    <row r="80" spans="1:11" ht="12.5" x14ac:dyDescent="0.25">
      <c r="A80" s="47"/>
      <c r="B80" s="38" t="s">
        <v>42</v>
      </c>
      <c r="C80" s="39" t="s">
        <v>79</v>
      </c>
      <c r="D80" s="38" t="s">
        <v>162</v>
      </c>
      <c r="E80" s="40" t="s">
        <v>63</v>
      </c>
      <c r="F80" s="40" t="s">
        <v>86</v>
      </c>
      <c r="G80" s="41">
        <v>0.25</v>
      </c>
      <c r="H80" s="41"/>
      <c r="I80" s="41">
        <f t="shared" si="1"/>
        <v>-0.25</v>
      </c>
      <c r="J80" s="45"/>
      <c r="K80" s="43"/>
    </row>
    <row r="81" spans="1:11" ht="12.5" x14ac:dyDescent="0.25">
      <c r="A81" s="47"/>
      <c r="B81" s="38" t="s">
        <v>42</v>
      </c>
      <c r="C81" s="39" t="s">
        <v>207</v>
      </c>
      <c r="D81" s="38" t="s">
        <v>144</v>
      </c>
      <c r="E81" s="40" t="s">
        <v>63</v>
      </c>
      <c r="F81" s="40" t="s">
        <v>87</v>
      </c>
      <c r="G81" s="41">
        <v>0.25</v>
      </c>
      <c r="H81" s="41"/>
      <c r="I81" s="41">
        <f t="shared" si="1"/>
        <v>-0.25</v>
      </c>
      <c r="J81" s="45"/>
      <c r="K81" s="43"/>
    </row>
    <row r="82" spans="1:11" ht="12.5"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66" t="s">
        <v>21</v>
      </c>
      <c r="B83" s="62"/>
      <c r="C83" s="62"/>
      <c r="D83" s="62"/>
      <c r="E83" s="62"/>
      <c r="F83" s="62"/>
      <c r="G83" s="62"/>
      <c r="H83" s="62"/>
      <c r="I83" s="62"/>
      <c r="J83" s="62"/>
      <c r="K83" s="63"/>
    </row>
    <row r="84" spans="1:11" ht="12.5" x14ac:dyDescent="0.25">
      <c r="A84" s="21" t="s">
        <v>12</v>
      </c>
      <c r="B84" s="67" t="s">
        <v>13</v>
      </c>
      <c r="C84" s="62"/>
      <c r="D84" s="62"/>
      <c r="E84" s="62"/>
      <c r="F84" s="62"/>
      <c r="G84" s="62"/>
      <c r="H84" s="62"/>
      <c r="I84" s="62"/>
      <c r="J84" s="62"/>
      <c r="K84" s="63"/>
    </row>
    <row r="85" spans="1:11" ht="27.75" customHeight="1" x14ac:dyDescent="0.25">
      <c r="A85" s="22" t="s">
        <v>14</v>
      </c>
      <c r="B85" s="67" t="s">
        <v>15</v>
      </c>
      <c r="C85" s="62"/>
      <c r="D85" s="62"/>
      <c r="E85" s="62"/>
      <c r="F85" s="62"/>
      <c r="G85" s="62"/>
      <c r="H85" s="62"/>
      <c r="I85" s="62"/>
      <c r="J85" s="62"/>
      <c r="K85" s="63"/>
    </row>
    <row r="86" spans="1:11" ht="12.5" x14ac:dyDescent="0.25">
      <c r="A86" s="37">
        <v>45628</v>
      </c>
      <c r="B86" s="38" t="s">
        <v>54</v>
      </c>
      <c r="C86" s="39" t="s">
        <v>79</v>
      </c>
      <c r="D86" s="38" t="s">
        <v>256</v>
      </c>
      <c r="E86" s="40" t="s">
        <v>61</v>
      </c>
      <c r="F86" s="40" t="s">
        <v>86</v>
      </c>
      <c r="G86" s="41">
        <v>0.5</v>
      </c>
      <c r="H86" s="41">
        <v>0.5</v>
      </c>
      <c r="I86" s="41">
        <f t="shared" ref="I86:I117" si="2">H86-G86</f>
        <v>0</v>
      </c>
      <c r="J86" s="45"/>
      <c r="K86" s="43"/>
    </row>
    <row r="87" spans="1:11" ht="12.5" x14ac:dyDescent="0.25">
      <c r="A87" s="37">
        <v>45628</v>
      </c>
      <c r="B87" s="38" t="s">
        <v>54</v>
      </c>
      <c r="C87" s="39" t="s">
        <v>207</v>
      </c>
      <c r="D87" s="38" t="s">
        <v>154</v>
      </c>
      <c r="E87" s="40" t="s">
        <v>61</v>
      </c>
      <c r="F87" s="40" t="s">
        <v>87</v>
      </c>
      <c r="G87" s="41">
        <v>0.5</v>
      </c>
      <c r="H87" s="41">
        <v>0.5</v>
      </c>
      <c r="I87" s="41">
        <f t="shared" si="2"/>
        <v>0</v>
      </c>
      <c r="J87" s="45"/>
      <c r="K87" s="43"/>
    </row>
    <row r="88" spans="1:11" ht="12.5" x14ac:dyDescent="0.25">
      <c r="A88" s="37">
        <v>45628</v>
      </c>
      <c r="B88" s="38" t="s">
        <v>54</v>
      </c>
      <c r="C88" s="39" t="s">
        <v>264</v>
      </c>
      <c r="D88" s="38" t="s">
        <v>155</v>
      </c>
      <c r="E88" s="40" t="s">
        <v>66</v>
      </c>
      <c r="F88" s="40" t="s">
        <v>104</v>
      </c>
      <c r="G88" s="41">
        <v>2</v>
      </c>
      <c r="H88" s="41">
        <v>1.5</v>
      </c>
      <c r="I88" s="41">
        <f t="shared" si="2"/>
        <v>-0.5</v>
      </c>
      <c r="J88" s="45"/>
      <c r="K88" s="43"/>
    </row>
    <row r="89" spans="1:11" ht="12.5" x14ac:dyDescent="0.25">
      <c r="A89" s="37">
        <v>45628</v>
      </c>
      <c r="B89" s="38" t="s">
        <v>54</v>
      </c>
      <c r="C89" s="39" t="s">
        <v>264</v>
      </c>
      <c r="D89" s="38" t="s">
        <v>160</v>
      </c>
      <c r="E89" s="40" t="s">
        <v>66</v>
      </c>
      <c r="F89" s="40" t="s">
        <v>104</v>
      </c>
      <c r="G89" s="41">
        <v>0.5</v>
      </c>
      <c r="H89" s="41">
        <v>0.5</v>
      </c>
      <c r="I89" s="41">
        <f t="shared" si="2"/>
        <v>0</v>
      </c>
      <c r="J89" s="45"/>
      <c r="K89" s="43"/>
    </row>
    <row r="90" spans="1:11" ht="12.5" x14ac:dyDescent="0.25">
      <c r="A90" s="37">
        <v>45628</v>
      </c>
      <c r="B90" s="38" t="s">
        <v>54</v>
      </c>
      <c r="C90" s="39" t="s">
        <v>264</v>
      </c>
      <c r="D90" s="38" t="s">
        <v>156</v>
      </c>
      <c r="E90" s="40" t="s">
        <v>55</v>
      </c>
      <c r="F90" s="40" t="s">
        <v>104</v>
      </c>
      <c r="G90" s="41">
        <v>0.5</v>
      </c>
      <c r="H90" s="41">
        <v>0.25</v>
      </c>
      <c r="I90" s="41">
        <f t="shared" si="2"/>
        <v>-0.25</v>
      </c>
      <c r="J90" s="45"/>
      <c r="K90" s="43"/>
    </row>
    <row r="91" spans="1:11" ht="12.5" x14ac:dyDescent="0.25">
      <c r="A91" s="37">
        <v>45628</v>
      </c>
      <c r="B91" s="38" t="s">
        <v>54</v>
      </c>
      <c r="C91" s="39" t="s">
        <v>265</v>
      </c>
      <c r="D91" s="38" t="s">
        <v>157</v>
      </c>
      <c r="E91" s="40" t="s">
        <v>66</v>
      </c>
      <c r="F91" s="40" t="s">
        <v>104</v>
      </c>
      <c r="G91" s="41">
        <v>4</v>
      </c>
      <c r="H91" s="41">
        <v>3</v>
      </c>
      <c r="I91" s="41">
        <f t="shared" si="2"/>
        <v>-1</v>
      </c>
      <c r="J91" s="45"/>
      <c r="K91" s="43"/>
    </row>
    <row r="92" spans="1:11" ht="12.5" x14ac:dyDescent="0.25">
      <c r="A92" s="37">
        <v>45628</v>
      </c>
      <c r="B92" s="38" t="s">
        <v>54</v>
      </c>
      <c r="C92" s="39" t="s">
        <v>265</v>
      </c>
      <c r="D92" s="38" t="s">
        <v>159</v>
      </c>
      <c r="E92" s="40" t="s">
        <v>66</v>
      </c>
      <c r="F92" s="40" t="s">
        <v>104</v>
      </c>
      <c r="G92" s="41">
        <v>0.5</v>
      </c>
      <c r="H92" s="41">
        <v>0.5</v>
      </c>
      <c r="I92" s="41">
        <f t="shared" si="2"/>
        <v>0</v>
      </c>
      <c r="J92" s="45"/>
      <c r="K92" s="43"/>
    </row>
    <row r="93" spans="1:11" ht="12.5" x14ac:dyDescent="0.25">
      <c r="A93" s="37">
        <v>45628</v>
      </c>
      <c r="B93" s="38" t="s">
        <v>54</v>
      </c>
      <c r="C93" s="39" t="s">
        <v>265</v>
      </c>
      <c r="D93" s="38" t="s">
        <v>158</v>
      </c>
      <c r="E93" s="40" t="s">
        <v>55</v>
      </c>
      <c r="F93" s="40" t="s">
        <v>104</v>
      </c>
      <c r="G93" s="41">
        <v>0.5</v>
      </c>
      <c r="H93" s="41">
        <v>1</v>
      </c>
      <c r="I93" s="41">
        <f t="shared" si="2"/>
        <v>0.5</v>
      </c>
      <c r="J93" s="45"/>
      <c r="K93" s="43" t="s">
        <v>161</v>
      </c>
    </row>
    <row r="94" spans="1:11" ht="12.5" x14ac:dyDescent="0.25">
      <c r="A94" s="37">
        <v>45628</v>
      </c>
      <c r="B94" s="38" t="s">
        <v>54</v>
      </c>
      <c r="C94" s="39" t="s">
        <v>259</v>
      </c>
      <c r="D94" s="38" t="s">
        <v>164</v>
      </c>
      <c r="E94" s="40" t="s">
        <v>52</v>
      </c>
      <c r="F94" s="40" t="s">
        <v>104</v>
      </c>
      <c r="G94" s="41">
        <v>0.25</v>
      </c>
      <c r="H94" s="41">
        <v>0.25</v>
      </c>
      <c r="I94" s="41">
        <f t="shared" si="2"/>
        <v>0</v>
      </c>
      <c r="J94" s="45"/>
      <c r="K94" s="43"/>
    </row>
    <row r="95" spans="1:11" ht="12.5" x14ac:dyDescent="0.25">
      <c r="A95" s="37">
        <v>45629</v>
      </c>
      <c r="B95" s="38" t="s">
        <v>54</v>
      </c>
      <c r="C95" s="39" t="s">
        <v>79</v>
      </c>
      <c r="D95" s="38" t="s">
        <v>266</v>
      </c>
      <c r="E95" s="40" t="s">
        <v>61</v>
      </c>
      <c r="F95" s="40" t="s">
        <v>86</v>
      </c>
      <c r="G95" s="41">
        <v>0.5</v>
      </c>
      <c r="H95" s="41">
        <v>0.5</v>
      </c>
      <c r="I95" s="41">
        <f t="shared" si="2"/>
        <v>0</v>
      </c>
      <c r="J95" s="45"/>
      <c r="K95" s="43"/>
    </row>
    <row r="96" spans="1:11" ht="12.5" x14ac:dyDescent="0.25">
      <c r="A96" s="37">
        <v>45629</v>
      </c>
      <c r="B96" s="38" t="s">
        <v>54</v>
      </c>
      <c r="C96" s="39" t="s">
        <v>77</v>
      </c>
      <c r="D96" s="38" t="s">
        <v>165</v>
      </c>
      <c r="E96" s="40" t="s">
        <v>46</v>
      </c>
      <c r="F96" s="40" t="s">
        <v>86</v>
      </c>
      <c r="G96" s="41">
        <v>0.25</v>
      </c>
      <c r="H96" s="41">
        <v>0.25</v>
      </c>
      <c r="I96" s="41">
        <f t="shared" si="2"/>
        <v>0</v>
      </c>
      <c r="J96" s="45"/>
      <c r="K96" s="43"/>
    </row>
    <row r="97" spans="1:11" ht="12.5" x14ac:dyDescent="0.25">
      <c r="A97" s="37">
        <v>45629</v>
      </c>
      <c r="B97" s="38" t="s">
        <v>54</v>
      </c>
      <c r="C97" s="39" t="s">
        <v>261</v>
      </c>
      <c r="D97" s="38" t="s">
        <v>166</v>
      </c>
      <c r="E97" s="40" t="s">
        <v>49</v>
      </c>
      <c r="F97" s="40" t="s">
        <v>104</v>
      </c>
      <c r="G97" s="41">
        <v>4</v>
      </c>
      <c r="H97" s="41">
        <v>5.5</v>
      </c>
      <c r="I97" s="41">
        <f t="shared" si="2"/>
        <v>1.5</v>
      </c>
      <c r="J97" s="45"/>
      <c r="K97" s="43" t="s">
        <v>169</v>
      </c>
    </row>
    <row r="98" spans="1:11" ht="12.5" x14ac:dyDescent="0.25">
      <c r="A98" s="37">
        <v>45629</v>
      </c>
      <c r="B98" s="38" t="s">
        <v>54</v>
      </c>
      <c r="C98" s="39" t="s">
        <v>65</v>
      </c>
      <c r="D98" s="38" t="s">
        <v>267</v>
      </c>
      <c r="E98" s="40" t="s">
        <v>65</v>
      </c>
      <c r="F98" s="40" t="s">
        <v>168</v>
      </c>
      <c r="G98" s="41">
        <v>1</v>
      </c>
      <c r="H98" s="41">
        <v>1</v>
      </c>
      <c r="I98" s="41">
        <f t="shared" si="2"/>
        <v>0</v>
      </c>
      <c r="J98" s="45"/>
      <c r="K98" s="43"/>
    </row>
    <row r="99" spans="1:11" ht="12.5" x14ac:dyDescent="0.25">
      <c r="A99" s="37">
        <v>45629</v>
      </c>
      <c r="B99" s="38" t="s">
        <v>54</v>
      </c>
      <c r="C99" s="39" t="s">
        <v>261</v>
      </c>
      <c r="D99" s="38" t="s">
        <v>167</v>
      </c>
      <c r="E99" s="40" t="s">
        <v>49</v>
      </c>
      <c r="F99" s="40" t="s">
        <v>104</v>
      </c>
      <c r="G99" s="41">
        <v>2.5</v>
      </c>
      <c r="H99" s="41">
        <v>2</v>
      </c>
      <c r="I99" s="41">
        <f t="shared" si="2"/>
        <v>-0.5</v>
      </c>
      <c r="J99" s="45"/>
      <c r="K99" s="43"/>
    </row>
    <row r="100" spans="1:11" ht="12.5" x14ac:dyDescent="0.25">
      <c r="A100" s="37">
        <v>45630</v>
      </c>
      <c r="B100" s="38" t="s">
        <v>54</v>
      </c>
      <c r="C100" s="39" t="s">
        <v>268</v>
      </c>
      <c r="D100" s="38" t="s">
        <v>170</v>
      </c>
      <c r="E100" s="40" t="s">
        <v>66</v>
      </c>
      <c r="F100" s="40" t="s">
        <v>104</v>
      </c>
      <c r="G100" s="41">
        <v>4</v>
      </c>
      <c r="H100" s="41">
        <v>4</v>
      </c>
      <c r="I100" s="41">
        <f t="shared" si="2"/>
        <v>0</v>
      </c>
      <c r="J100" s="45"/>
      <c r="K100" s="43"/>
    </row>
    <row r="101" spans="1:11" ht="12.5" x14ac:dyDescent="0.25">
      <c r="A101" s="37">
        <v>45630</v>
      </c>
      <c r="B101" s="38" t="s">
        <v>54</v>
      </c>
      <c r="C101" s="39" t="s">
        <v>268</v>
      </c>
      <c r="D101" s="38" t="s">
        <v>171</v>
      </c>
      <c r="E101" s="40" t="s">
        <v>66</v>
      </c>
      <c r="F101" s="40" t="s">
        <v>104</v>
      </c>
      <c r="G101" s="41">
        <v>2</v>
      </c>
      <c r="H101" s="41">
        <v>1</v>
      </c>
      <c r="I101" s="41">
        <f t="shared" si="2"/>
        <v>-1</v>
      </c>
      <c r="J101" s="45"/>
      <c r="K101" s="43"/>
    </row>
    <row r="102" spans="1:11" ht="12.5" x14ac:dyDescent="0.25">
      <c r="A102" s="37">
        <v>45630</v>
      </c>
      <c r="B102" s="38" t="s">
        <v>42</v>
      </c>
      <c r="C102" s="39" t="s">
        <v>268</v>
      </c>
      <c r="D102" s="38" t="s">
        <v>172</v>
      </c>
      <c r="E102" s="40" t="s">
        <v>55</v>
      </c>
      <c r="F102" s="40" t="s">
        <v>104</v>
      </c>
      <c r="G102" s="41">
        <v>1</v>
      </c>
      <c r="H102" s="41"/>
      <c r="I102" s="41">
        <f t="shared" si="2"/>
        <v>-1</v>
      </c>
      <c r="J102" s="45"/>
      <c r="K102" s="43"/>
    </row>
    <row r="103" spans="1:11" ht="12.5" x14ac:dyDescent="0.25">
      <c r="A103" s="37">
        <v>45631</v>
      </c>
      <c r="B103" s="38" t="s">
        <v>54</v>
      </c>
      <c r="C103" s="39" t="s">
        <v>269</v>
      </c>
      <c r="D103" s="38" t="s">
        <v>173</v>
      </c>
      <c r="E103" s="40" t="s">
        <v>66</v>
      </c>
      <c r="F103" s="40" t="s">
        <v>104</v>
      </c>
      <c r="G103" s="41">
        <v>1</v>
      </c>
      <c r="H103" s="41">
        <v>1</v>
      </c>
      <c r="I103" s="41">
        <f t="shared" si="2"/>
        <v>0</v>
      </c>
      <c r="J103" s="45"/>
      <c r="K103" s="43"/>
    </row>
    <row r="104" spans="1:11" ht="12.5" x14ac:dyDescent="0.25">
      <c r="A104" s="37">
        <v>45631</v>
      </c>
      <c r="B104" s="38" t="s">
        <v>54</v>
      </c>
      <c r="C104" s="39" t="s">
        <v>269</v>
      </c>
      <c r="D104" s="38" t="s">
        <v>174</v>
      </c>
      <c r="E104" s="40" t="s">
        <v>66</v>
      </c>
      <c r="F104" s="40" t="s">
        <v>104</v>
      </c>
      <c r="G104" s="41">
        <v>2</v>
      </c>
      <c r="H104" s="41">
        <v>2</v>
      </c>
      <c r="I104" s="41">
        <f t="shared" si="2"/>
        <v>0</v>
      </c>
      <c r="J104" s="45"/>
      <c r="K104" s="43"/>
    </row>
    <row r="105" spans="1:11" ht="12.5" x14ac:dyDescent="0.25">
      <c r="A105" s="37">
        <v>45631</v>
      </c>
      <c r="B105" s="38" t="s">
        <v>54</v>
      </c>
      <c r="C105" s="39" t="s">
        <v>269</v>
      </c>
      <c r="D105" s="38" t="s">
        <v>175</v>
      </c>
      <c r="E105" s="40" t="s">
        <v>66</v>
      </c>
      <c r="F105" s="40" t="s">
        <v>104</v>
      </c>
      <c r="G105" s="41">
        <v>1</v>
      </c>
      <c r="H105" s="41">
        <v>1</v>
      </c>
      <c r="I105" s="41">
        <f t="shared" si="2"/>
        <v>0</v>
      </c>
      <c r="J105" s="45"/>
      <c r="K105" s="43"/>
    </row>
    <row r="106" spans="1:11" ht="12.5" x14ac:dyDescent="0.25">
      <c r="A106" s="37">
        <v>45631</v>
      </c>
      <c r="B106" s="38" t="s">
        <v>54</v>
      </c>
      <c r="C106" s="39" t="s">
        <v>269</v>
      </c>
      <c r="D106" s="38" t="s">
        <v>176</v>
      </c>
      <c r="E106" s="40" t="s">
        <v>66</v>
      </c>
      <c r="F106" s="40" t="s">
        <v>104</v>
      </c>
      <c r="G106" s="41">
        <v>2</v>
      </c>
      <c r="H106" s="41">
        <v>2</v>
      </c>
      <c r="I106" s="41">
        <f t="shared" si="2"/>
        <v>0</v>
      </c>
      <c r="J106" s="45"/>
      <c r="K106" s="43"/>
    </row>
    <row r="107" spans="1:11" ht="12.5" x14ac:dyDescent="0.25">
      <c r="A107" s="37">
        <v>45631</v>
      </c>
      <c r="B107" s="38" t="s">
        <v>54</v>
      </c>
      <c r="C107" s="39" t="s">
        <v>269</v>
      </c>
      <c r="D107" s="38" t="s">
        <v>177</v>
      </c>
      <c r="E107" s="40" t="s">
        <v>52</v>
      </c>
      <c r="F107" s="40" t="s">
        <v>104</v>
      </c>
      <c r="G107" s="41">
        <v>1</v>
      </c>
      <c r="H107" s="41">
        <v>1</v>
      </c>
      <c r="I107" s="41">
        <f t="shared" si="2"/>
        <v>0</v>
      </c>
      <c r="J107" s="45"/>
      <c r="K107" s="43"/>
    </row>
    <row r="108" spans="1:11" ht="12.5" x14ac:dyDescent="0.25">
      <c r="A108" s="37">
        <v>45631</v>
      </c>
      <c r="B108" s="38" t="s">
        <v>54</v>
      </c>
      <c r="C108" s="39" t="s">
        <v>269</v>
      </c>
      <c r="D108" s="38" t="s">
        <v>178</v>
      </c>
      <c r="E108" s="40" t="s">
        <v>55</v>
      </c>
      <c r="F108" s="40" t="s">
        <v>104</v>
      </c>
      <c r="G108" s="41">
        <v>1</v>
      </c>
      <c r="H108" s="41">
        <v>1</v>
      </c>
      <c r="I108" s="41">
        <f t="shared" si="2"/>
        <v>0</v>
      </c>
      <c r="J108" s="45"/>
      <c r="K108" s="43"/>
    </row>
    <row r="109" spans="1:11" ht="12.5" x14ac:dyDescent="0.25">
      <c r="A109" s="37">
        <v>45632</v>
      </c>
      <c r="B109" s="38" t="s">
        <v>54</v>
      </c>
      <c r="C109" s="39" t="s">
        <v>77</v>
      </c>
      <c r="D109" s="38" t="s">
        <v>77</v>
      </c>
      <c r="E109" s="40" t="s">
        <v>46</v>
      </c>
      <c r="F109" s="40" t="s">
        <v>86</v>
      </c>
      <c r="G109" s="41">
        <v>0.25</v>
      </c>
      <c r="H109" s="41">
        <v>0.25</v>
      </c>
      <c r="I109" s="41">
        <f t="shared" si="2"/>
        <v>0</v>
      </c>
      <c r="J109" s="45"/>
      <c r="K109" s="43"/>
    </row>
    <row r="110" spans="1:11" ht="12.5" x14ac:dyDescent="0.25">
      <c r="A110" s="37">
        <v>45632</v>
      </c>
      <c r="B110" s="38" t="s">
        <v>54</v>
      </c>
      <c r="C110" s="39" t="s">
        <v>261</v>
      </c>
      <c r="D110" s="38" t="s">
        <v>179</v>
      </c>
      <c r="E110" s="40" t="s">
        <v>49</v>
      </c>
      <c r="F110" s="40" t="s">
        <v>184</v>
      </c>
      <c r="G110" s="41">
        <v>4</v>
      </c>
      <c r="H110" s="41">
        <v>4</v>
      </c>
      <c r="I110" s="41">
        <f t="shared" si="2"/>
        <v>0</v>
      </c>
      <c r="J110" s="45"/>
      <c r="K110" s="43"/>
    </row>
    <row r="111" spans="1:11" ht="12.5" x14ac:dyDescent="0.25">
      <c r="A111" s="37">
        <v>45632</v>
      </c>
      <c r="B111" s="38" t="s">
        <v>54</v>
      </c>
      <c r="C111" s="39" t="s">
        <v>262</v>
      </c>
      <c r="D111" s="38" t="s">
        <v>183</v>
      </c>
      <c r="E111" s="40" t="s">
        <v>65</v>
      </c>
      <c r="F111" s="40" t="s">
        <v>104</v>
      </c>
      <c r="G111" s="41">
        <v>1</v>
      </c>
      <c r="H111" s="41">
        <v>1</v>
      </c>
      <c r="I111" s="41">
        <f t="shared" si="2"/>
        <v>0</v>
      </c>
      <c r="J111" s="45"/>
      <c r="K111" s="43"/>
    </row>
    <row r="112" spans="1:11" ht="12.5" x14ac:dyDescent="0.25">
      <c r="A112" s="37">
        <v>45632</v>
      </c>
      <c r="B112" s="38" t="s">
        <v>54</v>
      </c>
      <c r="C112" s="39" t="s">
        <v>261</v>
      </c>
      <c r="D112" s="38" t="s">
        <v>180</v>
      </c>
      <c r="E112" s="40" t="s">
        <v>49</v>
      </c>
      <c r="F112" s="40" t="s">
        <v>184</v>
      </c>
      <c r="G112" s="41">
        <v>2.5</v>
      </c>
      <c r="H112" s="41">
        <v>1.5</v>
      </c>
      <c r="I112" s="41">
        <f t="shared" si="2"/>
        <v>-1</v>
      </c>
      <c r="J112" s="45"/>
      <c r="K112" s="43" t="s">
        <v>208</v>
      </c>
    </row>
    <row r="113" spans="1:11" ht="12.5" x14ac:dyDescent="0.25">
      <c r="A113" s="37">
        <v>45632</v>
      </c>
      <c r="B113" s="38" t="s">
        <v>54</v>
      </c>
      <c r="C113" s="39" t="s">
        <v>79</v>
      </c>
      <c r="D113" s="38" t="s">
        <v>270</v>
      </c>
      <c r="E113" s="40" t="s">
        <v>61</v>
      </c>
      <c r="F113" s="40" t="s">
        <v>86</v>
      </c>
      <c r="G113" s="41">
        <v>0.5</v>
      </c>
      <c r="H113" s="41">
        <v>0.5</v>
      </c>
      <c r="I113" s="41">
        <f t="shared" si="2"/>
        <v>0</v>
      </c>
      <c r="J113" s="45"/>
      <c r="K113" s="43"/>
    </row>
    <row r="114" spans="1:11" ht="12.5" x14ac:dyDescent="0.25">
      <c r="A114" s="37">
        <v>45632</v>
      </c>
      <c r="B114" s="38" t="s">
        <v>54</v>
      </c>
      <c r="C114" s="39" t="s">
        <v>207</v>
      </c>
      <c r="D114" s="38" t="s">
        <v>154</v>
      </c>
      <c r="E114" s="40" t="s">
        <v>61</v>
      </c>
      <c r="F114" s="40" t="s">
        <v>87</v>
      </c>
      <c r="G114" s="41">
        <v>0.5</v>
      </c>
      <c r="H114" s="41">
        <v>0.5</v>
      </c>
      <c r="I114" s="41">
        <f t="shared" si="2"/>
        <v>0</v>
      </c>
      <c r="J114" s="45"/>
      <c r="K114" s="43"/>
    </row>
    <row r="115" spans="1:11" ht="12.5" x14ac:dyDescent="0.25">
      <c r="A115" s="37"/>
      <c r="B115" s="38" t="s">
        <v>42</v>
      </c>
      <c r="C115" s="39" t="s">
        <v>207</v>
      </c>
      <c r="D115" s="38" t="s">
        <v>182</v>
      </c>
      <c r="E115" s="40" t="s">
        <v>63</v>
      </c>
      <c r="F115" s="40" t="s">
        <v>86</v>
      </c>
      <c r="G115" s="41">
        <v>0.5</v>
      </c>
      <c r="H115" s="41"/>
      <c r="I115" s="41">
        <f t="shared" si="2"/>
        <v>-0.5</v>
      </c>
      <c r="J115" s="45"/>
      <c r="K115" s="43"/>
    </row>
    <row r="116" spans="1:11" ht="12.5" x14ac:dyDescent="0.25">
      <c r="A116" s="37"/>
      <c r="B116" s="38" t="s">
        <v>42</v>
      </c>
      <c r="C116" s="39" t="s">
        <v>79</v>
      </c>
      <c r="D116" s="38" t="s">
        <v>181</v>
      </c>
      <c r="E116" s="40" t="s">
        <v>63</v>
      </c>
      <c r="F116" s="40" t="s">
        <v>86</v>
      </c>
      <c r="G116" s="41">
        <v>0.5</v>
      </c>
      <c r="H116" s="41"/>
      <c r="I116" s="41">
        <f t="shared" si="2"/>
        <v>-0.5</v>
      </c>
      <c r="J116" s="45"/>
      <c r="K116" s="43"/>
    </row>
    <row r="117" spans="1:11" ht="12.5" x14ac:dyDescent="0.25">
      <c r="A117" s="13"/>
      <c r="B117" s="15"/>
      <c r="C117" s="15"/>
      <c r="D117" s="15"/>
      <c r="E117" s="15" t="s">
        <v>18</v>
      </c>
      <c r="F117" s="15"/>
      <c r="G117" s="18">
        <f t="shared" ref="G117:H117" si="3">SUM(G86:G116)</f>
        <v>42.25</v>
      </c>
      <c r="H117" s="18">
        <f t="shared" si="3"/>
        <v>38</v>
      </c>
      <c r="I117" s="18">
        <f t="shared" si="2"/>
        <v>-4.25</v>
      </c>
      <c r="J117" s="19"/>
      <c r="K117" s="46"/>
    </row>
    <row r="118" spans="1:11" ht="18.75" customHeight="1" x14ac:dyDescent="0.25">
      <c r="A118" s="68" t="s">
        <v>22</v>
      </c>
      <c r="B118" s="62"/>
      <c r="C118" s="62"/>
      <c r="D118" s="62"/>
      <c r="E118" s="62"/>
      <c r="F118" s="62"/>
      <c r="G118" s="62"/>
      <c r="H118" s="62"/>
      <c r="I118" s="62"/>
      <c r="J118" s="62"/>
      <c r="K118" s="63"/>
    </row>
    <row r="119" spans="1:11" ht="12.5" x14ac:dyDescent="0.25">
      <c r="A119" s="23" t="s">
        <v>12</v>
      </c>
      <c r="B119" s="70" t="s">
        <v>13</v>
      </c>
      <c r="C119" s="62"/>
      <c r="D119" s="62"/>
      <c r="E119" s="62"/>
      <c r="F119" s="62"/>
      <c r="G119" s="62"/>
      <c r="H119" s="62"/>
      <c r="I119" s="62"/>
      <c r="J119" s="62"/>
      <c r="K119" s="63"/>
    </row>
    <row r="120" spans="1:11" ht="27.75" customHeight="1" x14ac:dyDescent="0.25">
      <c r="A120" s="24" t="s">
        <v>14</v>
      </c>
      <c r="B120" s="70" t="s">
        <v>15</v>
      </c>
      <c r="C120" s="62"/>
      <c r="D120" s="62"/>
      <c r="E120" s="62"/>
      <c r="F120" s="62"/>
      <c r="G120" s="62"/>
      <c r="H120" s="62"/>
      <c r="I120" s="62"/>
      <c r="J120" s="62"/>
      <c r="K120" s="63"/>
    </row>
    <row r="121" spans="1:11" ht="12.5" x14ac:dyDescent="0.25">
      <c r="A121" s="37">
        <v>45635</v>
      </c>
      <c r="B121" s="38" t="s">
        <v>54</v>
      </c>
      <c r="C121" s="39" t="s">
        <v>207</v>
      </c>
      <c r="D121" s="38" t="s">
        <v>271</v>
      </c>
      <c r="E121" s="40" t="s">
        <v>61</v>
      </c>
      <c r="F121" s="40" t="s">
        <v>87</v>
      </c>
      <c r="G121" s="41">
        <v>0.25</v>
      </c>
      <c r="H121" s="41">
        <v>0.25</v>
      </c>
      <c r="I121" s="41">
        <f t="shared" ref="I121:I122" si="4">H121-G121</f>
        <v>0</v>
      </c>
      <c r="J121" s="45"/>
      <c r="K121" s="43"/>
    </row>
    <row r="122" spans="1:11" ht="12.5" x14ac:dyDescent="0.25">
      <c r="A122" s="37">
        <v>45635</v>
      </c>
      <c r="B122" s="38" t="s">
        <v>54</v>
      </c>
      <c r="C122" s="39" t="s">
        <v>79</v>
      </c>
      <c r="D122" s="38" t="s">
        <v>256</v>
      </c>
      <c r="E122" s="40" t="s">
        <v>61</v>
      </c>
      <c r="F122" s="40" t="s">
        <v>86</v>
      </c>
      <c r="G122" s="41">
        <v>0.25</v>
      </c>
      <c r="H122" s="41">
        <v>0.25</v>
      </c>
      <c r="I122" s="41">
        <f t="shared" si="4"/>
        <v>0</v>
      </c>
      <c r="J122" s="45"/>
      <c r="K122" s="43"/>
    </row>
    <row r="123" spans="1:11" ht="12.5" x14ac:dyDescent="0.25">
      <c r="A123" s="37">
        <v>45635</v>
      </c>
      <c r="B123" s="38" t="s">
        <v>54</v>
      </c>
      <c r="C123" s="39" t="s">
        <v>272</v>
      </c>
      <c r="D123" s="38" t="s">
        <v>186</v>
      </c>
      <c r="E123" s="40" t="s">
        <v>66</v>
      </c>
      <c r="F123" s="40" t="s">
        <v>104</v>
      </c>
      <c r="G123" s="41">
        <v>1.5</v>
      </c>
      <c r="H123" s="41">
        <v>1.5</v>
      </c>
      <c r="I123" s="41">
        <f>H123-G123</f>
        <v>0</v>
      </c>
      <c r="J123" s="45"/>
      <c r="K123" s="43"/>
    </row>
    <row r="124" spans="1:11" ht="12.5" x14ac:dyDescent="0.25">
      <c r="A124" s="37">
        <v>45635</v>
      </c>
      <c r="B124" s="38" t="s">
        <v>54</v>
      </c>
      <c r="C124" s="39" t="s">
        <v>272</v>
      </c>
      <c r="D124" s="38" t="s">
        <v>187</v>
      </c>
      <c r="E124" s="40" t="s">
        <v>66</v>
      </c>
      <c r="F124" s="40" t="s">
        <v>104</v>
      </c>
      <c r="G124" s="41">
        <v>1.5</v>
      </c>
      <c r="H124" s="41">
        <v>1</v>
      </c>
      <c r="I124" s="41">
        <f t="shared" ref="I124:I150" si="5">H124-G124</f>
        <v>-0.5</v>
      </c>
      <c r="J124" s="45"/>
      <c r="K124" s="43"/>
    </row>
    <row r="125" spans="1:11" ht="12.5" x14ac:dyDescent="0.25">
      <c r="A125" s="37">
        <v>45635</v>
      </c>
      <c r="B125" s="38" t="s">
        <v>54</v>
      </c>
      <c r="C125" s="39" t="s">
        <v>272</v>
      </c>
      <c r="D125" s="38" t="s">
        <v>188</v>
      </c>
      <c r="E125" s="40" t="s">
        <v>66</v>
      </c>
      <c r="F125" s="40" t="s">
        <v>104</v>
      </c>
      <c r="G125" s="41">
        <v>1.5</v>
      </c>
      <c r="H125" s="41">
        <v>1</v>
      </c>
      <c r="I125" s="41">
        <f t="shared" si="5"/>
        <v>-0.5</v>
      </c>
      <c r="J125" s="45"/>
      <c r="K125" s="43"/>
    </row>
    <row r="126" spans="1:11" ht="12.5" x14ac:dyDescent="0.25">
      <c r="A126" s="37">
        <v>45635</v>
      </c>
      <c r="B126" s="38" t="s">
        <v>54</v>
      </c>
      <c r="C126" s="39" t="s">
        <v>272</v>
      </c>
      <c r="D126" s="38" t="s">
        <v>189</v>
      </c>
      <c r="E126" s="40" t="s">
        <v>66</v>
      </c>
      <c r="F126" s="40" t="s">
        <v>104</v>
      </c>
      <c r="G126" s="41">
        <v>1.5</v>
      </c>
      <c r="H126" s="41">
        <v>1</v>
      </c>
      <c r="I126" s="41">
        <f t="shared" si="5"/>
        <v>-0.5</v>
      </c>
      <c r="J126" s="45"/>
      <c r="K126" s="43"/>
    </row>
    <row r="127" spans="1:11" ht="12.5" x14ac:dyDescent="0.25">
      <c r="A127" s="37">
        <v>45635</v>
      </c>
      <c r="B127" s="38" t="s">
        <v>54</v>
      </c>
      <c r="C127" s="39" t="s">
        <v>272</v>
      </c>
      <c r="D127" s="38" t="s">
        <v>190</v>
      </c>
      <c r="E127" s="40" t="s">
        <v>66</v>
      </c>
      <c r="F127" s="40" t="s">
        <v>104</v>
      </c>
      <c r="G127" s="41">
        <v>1.5</v>
      </c>
      <c r="H127" s="41">
        <v>1</v>
      </c>
      <c r="I127" s="41">
        <f t="shared" si="5"/>
        <v>-0.5</v>
      </c>
      <c r="J127" s="45"/>
      <c r="K127" s="43"/>
    </row>
    <row r="128" spans="1:11" ht="12.5" x14ac:dyDescent="0.25">
      <c r="A128" s="37">
        <v>45635</v>
      </c>
      <c r="B128" s="38" t="s">
        <v>54</v>
      </c>
      <c r="C128" s="39" t="s">
        <v>272</v>
      </c>
      <c r="D128" s="38" t="s">
        <v>204</v>
      </c>
      <c r="E128" s="40" t="s">
        <v>66</v>
      </c>
      <c r="F128" s="40" t="s">
        <v>104</v>
      </c>
      <c r="G128" s="41">
        <v>1</v>
      </c>
      <c r="H128" s="41">
        <v>1.5</v>
      </c>
      <c r="I128" s="41">
        <f t="shared" si="5"/>
        <v>0.5</v>
      </c>
      <c r="J128" s="45"/>
      <c r="K128" s="43"/>
    </row>
    <row r="129" spans="1:11" ht="12.5" x14ac:dyDescent="0.25">
      <c r="A129" s="37">
        <v>45635</v>
      </c>
      <c r="B129" s="38" t="s">
        <v>54</v>
      </c>
      <c r="C129" s="39" t="s">
        <v>272</v>
      </c>
      <c r="D129" s="38" t="s">
        <v>185</v>
      </c>
      <c r="E129" s="40" t="s">
        <v>55</v>
      </c>
      <c r="F129" s="40" t="s">
        <v>104</v>
      </c>
      <c r="G129" s="41">
        <v>0.5</v>
      </c>
      <c r="H129" s="41">
        <v>0.5</v>
      </c>
      <c r="I129" s="41">
        <f t="shared" si="5"/>
        <v>0</v>
      </c>
      <c r="J129" s="45"/>
      <c r="K129" s="43"/>
    </row>
    <row r="130" spans="1:11" ht="12.5" x14ac:dyDescent="0.25">
      <c r="A130" s="37"/>
      <c r="B130" s="38" t="s">
        <v>57</v>
      </c>
      <c r="C130" s="39" t="s">
        <v>261</v>
      </c>
      <c r="D130" s="38" t="s">
        <v>191</v>
      </c>
      <c r="E130" s="40" t="s">
        <v>49</v>
      </c>
      <c r="F130" s="40" t="s">
        <v>184</v>
      </c>
      <c r="G130" s="41">
        <v>4</v>
      </c>
      <c r="H130" s="41"/>
      <c r="I130" s="41">
        <f t="shared" si="5"/>
        <v>-4</v>
      </c>
      <c r="J130" s="45"/>
      <c r="K130" s="43"/>
    </row>
    <row r="131" spans="1:11" ht="12.5" x14ac:dyDescent="0.25">
      <c r="A131" s="37"/>
      <c r="B131" s="38" t="s">
        <v>57</v>
      </c>
      <c r="C131" s="39" t="s">
        <v>261</v>
      </c>
      <c r="D131" s="38" t="s">
        <v>192</v>
      </c>
      <c r="E131" s="40" t="s">
        <v>49</v>
      </c>
      <c r="F131" s="40" t="s">
        <v>184</v>
      </c>
      <c r="G131" s="41">
        <v>2</v>
      </c>
      <c r="H131" s="41"/>
      <c r="I131" s="41">
        <f t="shared" si="5"/>
        <v>-2</v>
      </c>
      <c r="J131" s="45"/>
      <c r="K131" s="43"/>
    </row>
    <row r="132" spans="1:11" ht="12.5" x14ac:dyDescent="0.25">
      <c r="A132" s="37" t="s">
        <v>210</v>
      </c>
      <c r="B132" s="38" t="s">
        <v>51</v>
      </c>
      <c r="C132" s="39" t="s">
        <v>273</v>
      </c>
      <c r="D132" s="38" t="s">
        <v>194</v>
      </c>
      <c r="E132" s="40" t="s">
        <v>66</v>
      </c>
      <c r="F132" s="40" t="s">
        <v>104</v>
      </c>
      <c r="G132" s="41">
        <v>4</v>
      </c>
      <c r="H132" s="41"/>
      <c r="I132" s="41">
        <f t="shared" si="5"/>
        <v>-4</v>
      </c>
      <c r="J132" s="45"/>
      <c r="K132" s="43" t="s">
        <v>196</v>
      </c>
    </row>
    <row r="133" spans="1:11" ht="12.5" x14ac:dyDescent="0.25">
      <c r="A133" s="37"/>
      <c r="B133" s="38" t="s">
        <v>42</v>
      </c>
      <c r="C133" s="39" t="s">
        <v>273</v>
      </c>
      <c r="D133" s="38" t="s">
        <v>195</v>
      </c>
      <c r="E133" s="40" t="s">
        <v>66</v>
      </c>
      <c r="F133" s="40" t="s">
        <v>184</v>
      </c>
      <c r="G133" s="41">
        <v>2</v>
      </c>
      <c r="H133" s="41"/>
      <c r="I133" s="41">
        <f t="shared" si="5"/>
        <v>-2</v>
      </c>
      <c r="J133" s="45"/>
      <c r="K133" s="43"/>
    </row>
    <row r="134" spans="1:11" ht="12.5" x14ac:dyDescent="0.25">
      <c r="A134" s="37"/>
      <c r="B134" s="38" t="s">
        <v>42</v>
      </c>
      <c r="C134" s="39" t="s">
        <v>273</v>
      </c>
      <c r="D134" s="38" t="s">
        <v>193</v>
      </c>
      <c r="E134" s="40" t="s">
        <v>55</v>
      </c>
      <c r="F134" s="40" t="s">
        <v>104</v>
      </c>
      <c r="G134" s="41">
        <v>1</v>
      </c>
      <c r="H134" s="41"/>
      <c r="I134" s="41">
        <f t="shared" si="5"/>
        <v>-1</v>
      </c>
      <c r="J134" s="45"/>
      <c r="K134" s="43"/>
    </row>
    <row r="135" spans="1:11" ht="12.5" x14ac:dyDescent="0.25">
      <c r="A135" s="37">
        <v>45638</v>
      </c>
      <c r="B135" s="38" t="s">
        <v>54</v>
      </c>
      <c r="C135" s="39" t="s">
        <v>274</v>
      </c>
      <c r="D135" s="38" t="s">
        <v>202</v>
      </c>
      <c r="E135" s="40" t="s">
        <v>66</v>
      </c>
      <c r="F135" s="40" t="s">
        <v>104</v>
      </c>
      <c r="G135" s="41">
        <v>1.5</v>
      </c>
      <c r="H135" s="41">
        <v>1</v>
      </c>
      <c r="I135" s="41">
        <f t="shared" si="5"/>
        <v>-0.5</v>
      </c>
      <c r="J135" s="45"/>
      <c r="K135" s="43"/>
    </row>
    <row r="136" spans="1:11" ht="12.5" x14ac:dyDescent="0.25">
      <c r="A136" s="37">
        <v>45638</v>
      </c>
      <c r="B136" s="38" t="s">
        <v>54</v>
      </c>
      <c r="C136" s="39" t="s">
        <v>274</v>
      </c>
      <c r="D136" s="38" t="s">
        <v>201</v>
      </c>
      <c r="E136" s="40" t="s">
        <v>66</v>
      </c>
      <c r="F136" s="40" t="s">
        <v>104</v>
      </c>
      <c r="G136" s="41">
        <v>1.5</v>
      </c>
      <c r="H136" s="41">
        <v>1</v>
      </c>
      <c r="I136" s="41">
        <f t="shared" si="5"/>
        <v>-0.5</v>
      </c>
      <c r="J136" s="45"/>
      <c r="K136" s="43"/>
    </row>
    <row r="137" spans="1:11" ht="12.5" x14ac:dyDescent="0.25">
      <c r="A137" s="37">
        <v>45638</v>
      </c>
      <c r="B137" s="38" t="s">
        <v>54</v>
      </c>
      <c r="C137" s="39" t="s">
        <v>274</v>
      </c>
      <c r="D137" s="38" t="s">
        <v>200</v>
      </c>
      <c r="E137" s="40" t="s">
        <v>66</v>
      </c>
      <c r="F137" s="40" t="s">
        <v>104</v>
      </c>
      <c r="G137" s="41">
        <v>1.5</v>
      </c>
      <c r="H137" s="41">
        <v>1</v>
      </c>
      <c r="I137" s="41">
        <f t="shared" si="5"/>
        <v>-0.5</v>
      </c>
      <c r="J137" s="45"/>
      <c r="K137" s="43"/>
    </row>
    <row r="138" spans="1:11" ht="12.5" x14ac:dyDescent="0.25">
      <c r="A138" s="37">
        <v>45638</v>
      </c>
      <c r="B138" s="38" t="s">
        <v>54</v>
      </c>
      <c r="C138" s="39" t="s">
        <v>274</v>
      </c>
      <c r="D138" s="38" t="s">
        <v>199</v>
      </c>
      <c r="E138" s="40" t="s">
        <v>66</v>
      </c>
      <c r="F138" s="40" t="s">
        <v>104</v>
      </c>
      <c r="G138" s="41">
        <v>1.5</v>
      </c>
      <c r="H138" s="41">
        <v>1</v>
      </c>
      <c r="I138" s="41">
        <f t="shared" si="5"/>
        <v>-0.5</v>
      </c>
      <c r="J138" s="45"/>
      <c r="K138" s="43"/>
    </row>
    <row r="139" spans="1:11" ht="12.5" x14ac:dyDescent="0.25">
      <c r="A139" s="37">
        <v>45638</v>
      </c>
      <c r="B139" s="38" t="s">
        <v>54</v>
      </c>
      <c r="C139" s="39" t="s">
        <v>274</v>
      </c>
      <c r="D139" s="38" t="s">
        <v>198</v>
      </c>
      <c r="E139" s="40" t="s">
        <v>66</v>
      </c>
      <c r="F139" s="40" t="s">
        <v>104</v>
      </c>
      <c r="G139" s="41">
        <v>1.5</v>
      </c>
      <c r="H139" s="41">
        <v>1</v>
      </c>
      <c r="I139" s="41">
        <f t="shared" si="5"/>
        <v>-0.5</v>
      </c>
      <c r="J139" s="45"/>
      <c r="K139" s="43"/>
    </row>
    <row r="140" spans="1:11" ht="12.5" x14ac:dyDescent="0.25">
      <c r="A140" s="37">
        <v>45638</v>
      </c>
      <c r="B140" s="38" t="s">
        <v>54</v>
      </c>
      <c r="C140" s="39" t="s">
        <v>274</v>
      </c>
      <c r="D140" s="38" t="s">
        <v>203</v>
      </c>
      <c r="E140" s="40" t="s">
        <v>66</v>
      </c>
      <c r="F140" s="40" t="s">
        <v>104</v>
      </c>
      <c r="G140" s="41">
        <v>0.5</v>
      </c>
      <c r="H140" s="41">
        <v>1</v>
      </c>
      <c r="I140" s="41">
        <f t="shared" si="5"/>
        <v>0.5</v>
      </c>
      <c r="J140" s="45"/>
      <c r="K140" s="43"/>
    </row>
    <row r="141" spans="1:11" ht="12.5" x14ac:dyDescent="0.25">
      <c r="A141" s="37">
        <v>45638</v>
      </c>
      <c r="B141" s="38" t="s">
        <v>54</v>
      </c>
      <c r="C141" s="39" t="s">
        <v>274</v>
      </c>
      <c r="D141" s="38" t="s">
        <v>197</v>
      </c>
      <c r="E141" s="40" t="s">
        <v>55</v>
      </c>
      <c r="F141" s="40" t="s">
        <v>104</v>
      </c>
      <c r="G141" s="41">
        <v>0.5</v>
      </c>
      <c r="H141" s="41">
        <v>0.5</v>
      </c>
      <c r="I141" s="41">
        <f t="shared" si="5"/>
        <v>0</v>
      </c>
      <c r="J141" s="45"/>
      <c r="K141" s="43"/>
    </row>
    <row r="142" spans="1:11" ht="12.5" x14ac:dyDescent="0.25">
      <c r="A142" s="37">
        <v>45639</v>
      </c>
      <c r="B142" s="38" t="s">
        <v>54</v>
      </c>
      <c r="C142" s="39" t="s">
        <v>77</v>
      </c>
      <c r="D142" s="38" t="s">
        <v>77</v>
      </c>
      <c r="E142" s="40" t="s">
        <v>46</v>
      </c>
      <c r="F142" s="40" t="s">
        <v>104</v>
      </c>
      <c r="G142" s="41">
        <v>0.25</v>
      </c>
      <c r="H142" s="41">
        <v>0.25</v>
      </c>
      <c r="I142" s="41">
        <f t="shared" si="5"/>
        <v>0</v>
      </c>
      <c r="J142" s="45"/>
      <c r="K142" s="43"/>
    </row>
    <row r="143" spans="1:11" ht="12.5" x14ac:dyDescent="0.25">
      <c r="A143" s="37">
        <v>45639</v>
      </c>
      <c r="B143" s="38" t="s">
        <v>51</v>
      </c>
      <c r="C143" s="39" t="s">
        <v>261</v>
      </c>
      <c r="D143" s="38" t="s">
        <v>205</v>
      </c>
      <c r="E143" s="40" t="s">
        <v>49</v>
      </c>
      <c r="F143" s="40" t="s">
        <v>184</v>
      </c>
      <c r="G143" s="41">
        <v>4</v>
      </c>
      <c r="H143" s="41"/>
      <c r="I143" s="41">
        <f t="shared" si="5"/>
        <v>-4</v>
      </c>
      <c r="J143" s="45"/>
      <c r="K143" s="43"/>
    </row>
    <row r="144" spans="1:11" ht="12.5" x14ac:dyDescent="0.25">
      <c r="A144" s="37">
        <v>45639</v>
      </c>
      <c r="B144" s="38" t="s">
        <v>54</v>
      </c>
      <c r="C144" s="39" t="s">
        <v>79</v>
      </c>
      <c r="D144" s="38" t="s">
        <v>275</v>
      </c>
      <c r="E144" s="40" t="s">
        <v>61</v>
      </c>
      <c r="F144" s="40" t="s">
        <v>86</v>
      </c>
      <c r="G144" s="41">
        <v>0.5</v>
      </c>
      <c r="H144" s="41">
        <v>0.5</v>
      </c>
      <c r="I144" s="41">
        <f t="shared" si="5"/>
        <v>0</v>
      </c>
      <c r="J144" s="45"/>
      <c r="K144" s="43"/>
    </row>
    <row r="145" spans="1:11" ht="12.5" x14ac:dyDescent="0.25">
      <c r="A145" s="37">
        <v>45639</v>
      </c>
      <c r="B145" s="38" t="s">
        <v>54</v>
      </c>
      <c r="C145" s="39" t="s">
        <v>65</v>
      </c>
      <c r="D145" s="38" t="s">
        <v>242</v>
      </c>
      <c r="E145" s="40" t="s">
        <v>65</v>
      </c>
      <c r="F145" s="40" t="s">
        <v>104</v>
      </c>
      <c r="G145" s="41">
        <v>1</v>
      </c>
      <c r="H145" s="41">
        <v>1.45</v>
      </c>
      <c r="I145" s="41">
        <f t="shared" si="5"/>
        <v>0.44999999999999996</v>
      </c>
      <c r="J145" s="45"/>
      <c r="K145" s="43"/>
    </row>
    <row r="146" spans="1:11" ht="12.5" x14ac:dyDescent="0.25">
      <c r="A146" s="37">
        <v>45639</v>
      </c>
      <c r="B146" s="38" t="s">
        <v>54</v>
      </c>
      <c r="C146" s="39" t="s">
        <v>260</v>
      </c>
      <c r="D146" s="38" t="s">
        <v>206</v>
      </c>
      <c r="E146" s="40" t="s">
        <v>46</v>
      </c>
      <c r="F146" s="40" t="s">
        <v>86</v>
      </c>
      <c r="G146" s="41">
        <v>0.25</v>
      </c>
      <c r="H146" s="41">
        <v>0.25</v>
      </c>
      <c r="I146" s="41">
        <f t="shared" si="5"/>
        <v>0</v>
      </c>
      <c r="J146" s="45"/>
      <c r="K146" s="43"/>
    </row>
    <row r="147" spans="1:11" ht="12.5" x14ac:dyDescent="0.25">
      <c r="A147" s="37">
        <v>45640</v>
      </c>
      <c r="B147" s="38" t="s">
        <v>54</v>
      </c>
      <c r="C147" s="39" t="s">
        <v>276</v>
      </c>
      <c r="D147" s="38" t="s">
        <v>243</v>
      </c>
      <c r="E147" s="40" t="s">
        <v>49</v>
      </c>
      <c r="F147" s="40" t="s">
        <v>88</v>
      </c>
      <c r="G147" s="41">
        <v>2</v>
      </c>
      <c r="H147" s="41">
        <v>2</v>
      </c>
      <c r="I147" s="41">
        <f t="shared" si="5"/>
        <v>0</v>
      </c>
      <c r="J147" s="45"/>
      <c r="K147" s="43"/>
    </row>
    <row r="148" spans="1:11" ht="12.5" x14ac:dyDescent="0.25">
      <c r="A148" s="37">
        <v>45641</v>
      </c>
      <c r="B148" s="38" t="s">
        <v>54</v>
      </c>
      <c r="C148" s="39" t="s">
        <v>276</v>
      </c>
      <c r="D148" s="38" t="s">
        <v>244</v>
      </c>
      <c r="E148" s="40" t="s">
        <v>49</v>
      </c>
      <c r="F148" s="40" t="s">
        <v>88</v>
      </c>
      <c r="G148" s="41">
        <v>3</v>
      </c>
      <c r="H148" s="41">
        <v>3</v>
      </c>
      <c r="I148" s="41">
        <f t="shared" si="5"/>
        <v>0</v>
      </c>
      <c r="J148" s="45"/>
      <c r="K148" s="43"/>
    </row>
    <row r="149" spans="1:11" ht="12.5" x14ac:dyDescent="0.25">
      <c r="A149" s="37">
        <v>45643</v>
      </c>
      <c r="B149" s="38" t="s">
        <v>54</v>
      </c>
      <c r="C149" s="39" t="s">
        <v>207</v>
      </c>
      <c r="D149" s="38" t="s">
        <v>209</v>
      </c>
      <c r="E149" s="40" t="s">
        <v>63</v>
      </c>
      <c r="F149" s="40" t="s">
        <v>87</v>
      </c>
      <c r="G149" s="41">
        <v>0.5</v>
      </c>
      <c r="H149" s="41">
        <v>0.5</v>
      </c>
      <c r="I149" s="41">
        <f t="shared" si="5"/>
        <v>0</v>
      </c>
      <c r="J149" s="45"/>
      <c r="K149" s="43"/>
    </row>
    <row r="150" spans="1:11" ht="12.5" x14ac:dyDescent="0.25">
      <c r="A150" s="13"/>
      <c r="B150" s="15"/>
      <c r="C150" s="15"/>
      <c r="D150" s="15"/>
      <c r="E150" s="15" t="s">
        <v>18</v>
      </c>
      <c r="F150" s="15"/>
      <c r="G150" s="18">
        <f>SUM(G121:G149)</f>
        <v>42.5</v>
      </c>
      <c r="H150" s="18">
        <f>SUM(H121:H149)</f>
        <v>22.45</v>
      </c>
      <c r="I150" s="18">
        <f t="shared" si="5"/>
        <v>-20.05</v>
      </c>
      <c r="J150" s="19"/>
      <c r="K150" s="46"/>
    </row>
    <row r="151" spans="1:11" ht="18.75" customHeight="1" x14ac:dyDescent="0.25">
      <c r="A151" s="73" t="s">
        <v>23</v>
      </c>
      <c r="B151" s="62"/>
      <c r="C151" s="62"/>
      <c r="D151" s="62"/>
      <c r="E151" s="62"/>
      <c r="F151" s="62"/>
      <c r="G151" s="62"/>
      <c r="H151" s="62"/>
      <c r="I151" s="62"/>
      <c r="J151" s="62"/>
      <c r="K151" s="63"/>
    </row>
    <row r="152" spans="1:11" ht="12.5" x14ac:dyDescent="0.25">
      <c r="A152" s="25" t="s">
        <v>12</v>
      </c>
      <c r="B152" s="74" t="s">
        <v>13</v>
      </c>
      <c r="C152" s="62"/>
      <c r="D152" s="62"/>
      <c r="E152" s="62"/>
      <c r="F152" s="62"/>
      <c r="G152" s="62"/>
      <c r="H152" s="62"/>
      <c r="I152" s="62"/>
      <c r="J152" s="62"/>
      <c r="K152" s="63"/>
    </row>
    <row r="153" spans="1:11" ht="27.75" customHeight="1" x14ac:dyDescent="0.25">
      <c r="A153" s="26" t="s">
        <v>14</v>
      </c>
      <c r="B153" s="74" t="s">
        <v>15</v>
      </c>
      <c r="C153" s="62"/>
      <c r="D153" s="62"/>
      <c r="E153" s="62"/>
      <c r="F153" s="62"/>
      <c r="G153" s="62"/>
      <c r="H153" s="62"/>
      <c r="I153" s="62"/>
      <c r="J153" s="62"/>
      <c r="K153" s="63"/>
    </row>
    <row r="154" spans="1:11" ht="12.5" x14ac:dyDescent="0.25">
      <c r="A154" s="37">
        <v>45642</v>
      </c>
      <c r="B154" s="38" t="s">
        <v>54</v>
      </c>
      <c r="C154" s="39" t="s">
        <v>79</v>
      </c>
      <c r="D154" s="38" t="s">
        <v>211</v>
      </c>
      <c r="E154" s="40" t="s">
        <v>61</v>
      </c>
      <c r="F154" s="40" t="s">
        <v>86</v>
      </c>
      <c r="G154" s="41">
        <v>0.25</v>
      </c>
      <c r="H154" s="41">
        <v>0.25</v>
      </c>
      <c r="I154" s="41">
        <f t="shared" ref="I154:I194" si="6">H154-G154</f>
        <v>0</v>
      </c>
      <c r="J154" s="45"/>
      <c r="K154" s="43"/>
    </row>
    <row r="155" spans="1:11" ht="12.5" x14ac:dyDescent="0.25">
      <c r="A155" s="37">
        <v>45642</v>
      </c>
      <c r="B155" s="38" t="s">
        <v>54</v>
      </c>
      <c r="C155" s="39" t="s">
        <v>207</v>
      </c>
      <c r="D155" s="38" t="s">
        <v>212</v>
      </c>
      <c r="E155" s="40" t="s">
        <v>61</v>
      </c>
      <c r="F155" s="40" t="s">
        <v>87</v>
      </c>
      <c r="G155" s="41">
        <v>0.25</v>
      </c>
      <c r="H155" s="41">
        <v>0.25</v>
      </c>
      <c r="I155" s="41">
        <f t="shared" si="6"/>
        <v>0</v>
      </c>
      <c r="J155" s="45"/>
      <c r="K155" s="43"/>
    </row>
    <row r="156" spans="1:11" ht="12.5" x14ac:dyDescent="0.25">
      <c r="A156" s="37">
        <v>45642</v>
      </c>
      <c r="B156" s="38" t="s">
        <v>54</v>
      </c>
      <c r="C156" s="39" t="s">
        <v>224</v>
      </c>
      <c r="D156" s="38" t="s">
        <v>213</v>
      </c>
      <c r="E156" s="40" t="s">
        <v>55</v>
      </c>
      <c r="F156" s="40" t="s">
        <v>88</v>
      </c>
      <c r="G156" s="41">
        <v>1</v>
      </c>
      <c r="H156" s="41">
        <v>1</v>
      </c>
      <c r="I156" s="41">
        <f t="shared" si="6"/>
        <v>0</v>
      </c>
      <c r="J156" s="45"/>
      <c r="K156" s="43"/>
    </row>
    <row r="157" spans="1:11" ht="12.5" x14ac:dyDescent="0.25">
      <c r="A157" s="37">
        <v>45642</v>
      </c>
      <c r="B157" s="38" t="s">
        <v>54</v>
      </c>
      <c r="C157" s="39" t="s">
        <v>278</v>
      </c>
      <c r="D157" s="38" t="s">
        <v>277</v>
      </c>
      <c r="E157" s="40" t="s">
        <v>49</v>
      </c>
      <c r="F157" s="40" t="s">
        <v>88</v>
      </c>
      <c r="G157" s="41">
        <v>0.5</v>
      </c>
      <c r="H157" s="41">
        <v>0.5</v>
      </c>
      <c r="I157" s="41">
        <f t="shared" si="6"/>
        <v>0</v>
      </c>
      <c r="J157" s="45"/>
      <c r="K157" s="43"/>
    </row>
    <row r="158" spans="1:11" ht="12.5" x14ac:dyDescent="0.25">
      <c r="A158" s="37">
        <v>45642</v>
      </c>
      <c r="B158" s="38" t="s">
        <v>54</v>
      </c>
      <c r="C158" s="39" t="s">
        <v>214</v>
      </c>
      <c r="D158" s="38" t="s">
        <v>215</v>
      </c>
      <c r="E158" s="40" t="s">
        <v>66</v>
      </c>
      <c r="F158" s="40" t="s">
        <v>104</v>
      </c>
      <c r="G158" s="41">
        <v>1.5</v>
      </c>
      <c r="H158" s="41">
        <v>1</v>
      </c>
      <c r="I158" s="41">
        <f t="shared" si="6"/>
        <v>-0.5</v>
      </c>
      <c r="J158" s="45"/>
      <c r="K158" s="43"/>
    </row>
    <row r="159" spans="1:11" ht="12.5" x14ac:dyDescent="0.25">
      <c r="A159" s="37">
        <v>45642</v>
      </c>
      <c r="B159" s="38" t="s">
        <v>54</v>
      </c>
      <c r="C159" s="39" t="s">
        <v>214</v>
      </c>
      <c r="D159" s="38" t="s">
        <v>216</v>
      </c>
      <c r="E159" s="40" t="s">
        <v>66</v>
      </c>
      <c r="F159" s="40" t="s">
        <v>104</v>
      </c>
      <c r="G159" s="41">
        <v>2</v>
      </c>
      <c r="H159" s="41">
        <v>1.5</v>
      </c>
      <c r="I159" s="41">
        <f t="shared" si="6"/>
        <v>-0.5</v>
      </c>
      <c r="J159" s="45"/>
      <c r="K159" s="43"/>
    </row>
    <row r="160" spans="1:11" ht="12.5" x14ac:dyDescent="0.25">
      <c r="A160" s="37">
        <v>45642</v>
      </c>
      <c r="B160" s="38" t="s">
        <v>54</v>
      </c>
      <c r="C160" s="39" t="s">
        <v>214</v>
      </c>
      <c r="D160" s="38" t="s">
        <v>217</v>
      </c>
      <c r="E160" s="40" t="s">
        <v>66</v>
      </c>
      <c r="F160" s="40" t="s">
        <v>104</v>
      </c>
      <c r="G160" s="41">
        <v>2</v>
      </c>
      <c r="H160" s="41">
        <v>1.5</v>
      </c>
      <c r="I160" s="41">
        <f t="shared" si="6"/>
        <v>-0.5</v>
      </c>
      <c r="J160" s="45"/>
      <c r="K160" s="43"/>
    </row>
    <row r="161" spans="1:11" ht="12.5" x14ac:dyDescent="0.25">
      <c r="A161" s="37">
        <v>45642</v>
      </c>
      <c r="B161" s="38" t="s">
        <v>54</v>
      </c>
      <c r="C161" s="39" t="s">
        <v>214</v>
      </c>
      <c r="D161" s="38" t="s">
        <v>218</v>
      </c>
      <c r="E161" s="40" t="s">
        <v>66</v>
      </c>
      <c r="F161" s="40" t="s">
        <v>104</v>
      </c>
      <c r="G161" s="41">
        <v>2</v>
      </c>
      <c r="H161" s="41">
        <v>1.5</v>
      </c>
      <c r="I161" s="41">
        <f t="shared" si="6"/>
        <v>-0.5</v>
      </c>
      <c r="J161" s="45"/>
      <c r="K161" s="43"/>
    </row>
    <row r="162" spans="1:11" ht="12.5" x14ac:dyDescent="0.25">
      <c r="A162" s="37">
        <v>45642</v>
      </c>
      <c r="B162" s="38" t="s">
        <v>54</v>
      </c>
      <c r="C162" s="39" t="s">
        <v>220</v>
      </c>
      <c r="D162" s="38" t="s">
        <v>221</v>
      </c>
      <c r="E162" s="40" t="s">
        <v>52</v>
      </c>
      <c r="F162" s="40" t="s">
        <v>104</v>
      </c>
      <c r="G162" s="41">
        <v>1</v>
      </c>
      <c r="H162" s="41">
        <v>1</v>
      </c>
      <c r="I162" s="41">
        <f t="shared" si="6"/>
        <v>0</v>
      </c>
      <c r="J162" s="45"/>
      <c r="K162" s="43"/>
    </row>
    <row r="163" spans="1:11" ht="12.5" x14ac:dyDescent="0.25">
      <c r="A163" s="37">
        <v>45642</v>
      </c>
      <c r="B163" s="38" t="s">
        <v>54</v>
      </c>
      <c r="C163" s="39" t="s">
        <v>220</v>
      </c>
      <c r="D163" s="38" t="s">
        <v>219</v>
      </c>
      <c r="E163" s="40" t="s">
        <v>55</v>
      </c>
      <c r="F163" s="40" t="s">
        <v>104</v>
      </c>
      <c r="G163" s="41">
        <v>0.5</v>
      </c>
      <c r="H163" s="41">
        <v>0.25</v>
      </c>
      <c r="I163" s="41">
        <f t="shared" si="6"/>
        <v>-0.25</v>
      </c>
      <c r="J163" s="45"/>
      <c r="K163" s="43"/>
    </row>
    <row r="164" spans="1:11" ht="12.5" x14ac:dyDescent="0.25">
      <c r="A164" s="37">
        <v>45642</v>
      </c>
      <c r="B164" s="38" t="s">
        <v>54</v>
      </c>
      <c r="C164" s="39" t="s">
        <v>223</v>
      </c>
      <c r="D164" s="38" t="s">
        <v>222</v>
      </c>
      <c r="E164" s="40" t="s">
        <v>55</v>
      </c>
      <c r="F164" s="40" t="s">
        <v>88</v>
      </c>
      <c r="G164" s="41">
        <v>0.16</v>
      </c>
      <c r="H164" s="41">
        <v>0.16</v>
      </c>
      <c r="I164" s="41">
        <f t="shared" si="6"/>
        <v>0</v>
      </c>
      <c r="J164" s="45"/>
      <c r="K164" s="43"/>
    </row>
    <row r="165" spans="1:11" ht="12.5" x14ac:dyDescent="0.25">
      <c r="A165" s="37">
        <v>45642</v>
      </c>
      <c r="B165" s="38" t="s">
        <v>54</v>
      </c>
      <c r="C165" s="39" t="s">
        <v>225</v>
      </c>
      <c r="D165" s="38" t="s">
        <v>229</v>
      </c>
      <c r="E165" s="40" t="s">
        <v>66</v>
      </c>
      <c r="F165" s="40" t="s">
        <v>104</v>
      </c>
      <c r="G165" s="41">
        <v>1.5</v>
      </c>
      <c r="H165" s="41">
        <v>1</v>
      </c>
      <c r="I165" s="41">
        <f t="shared" si="6"/>
        <v>-0.5</v>
      </c>
      <c r="J165" s="45"/>
      <c r="K165" s="43"/>
    </row>
    <row r="166" spans="1:11" ht="12.5" x14ac:dyDescent="0.25">
      <c r="A166" s="37">
        <v>45642</v>
      </c>
      <c r="B166" s="38" t="s">
        <v>54</v>
      </c>
      <c r="C166" s="39" t="s">
        <v>225</v>
      </c>
      <c r="D166" s="38" t="s">
        <v>230</v>
      </c>
      <c r="E166" s="40" t="s">
        <v>66</v>
      </c>
      <c r="F166" s="40" t="s">
        <v>104</v>
      </c>
      <c r="G166" s="41">
        <v>2</v>
      </c>
      <c r="H166" s="41">
        <v>1</v>
      </c>
      <c r="I166" s="41">
        <f t="shared" si="6"/>
        <v>-1</v>
      </c>
      <c r="J166" s="45"/>
      <c r="K166" s="43"/>
    </row>
    <row r="167" spans="1:11" ht="12.5" x14ac:dyDescent="0.25">
      <c r="A167" s="37">
        <v>45642</v>
      </c>
      <c r="B167" s="38" t="s">
        <v>54</v>
      </c>
      <c r="C167" s="39" t="s">
        <v>225</v>
      </c>
      <c r="D167" s="38" t="s">
        <v>231</v>
      </c>
      <c r="E167" s="40" t="s">
        <v>66</v>
      </c>
      <c r="F167" s="40" t="s">
        <v>104</v>
      </c>
      <c r="G167" s="41">
        <v>2</v>
      </c>
      <c r="H167" s="41">
        <v>1</v>
      </c>
      <c r="I167" s="41">
        <f t="shared" si="6"/>
        <v>-1</v>
      </c>
      <c r="J167" s="45"/>
      <c r="K167" s="43"/>
    </row>
    <row r="168" spans="1:11" ht="12.5" x14ac:dyDescent="0.25">
      <c r="A168" s="37">
        <v>45642</v>
      </c>
      <c r="B168" s="38" t="s">
        <v>54</v>
      </c>
      <c r="C168" s="39" t="s">
        <v>225</v>
      </c>
      <c r="D168" s="38" t="s">
        <v>232</v>
      </c>
      <c r="E168" s="40" t="s">
        <v>66</v>
      </c>
      <c r="F168" s="40" t="s">
        <v>104</v>
      </c>
      <c r="G168" s="41">
        <v>2</v>
      </c>
      <c r="H168" s="41">
        <v>1</v>
      </c>
      <c r="I168" s="41">
        <f t="shared" si="6"/>
        <v>-1</v>
      </c>
      <c r="J168" s="45"/>
      <c r="K168" s="43"/>
    </row>
    <row r="169" spans="1:11" ht="12.5" x14ac:dyDescent="0.25">
      <c r="A169" s="37">
        <v>45642</v>
      </c>
      <c r="B169" s="38" t="s">
        <v>54</v>
      </c>
      <c r="C169" s="39" t="s">
        <v>226</v>
      </c>
      <c r="D169" s="38" t="s">
        <v>227</v>
      </c>
      <c r="E169" s="40" t="s">
        <v>52</v>
      </c>
      <c r="F169" s="40" t="s">
        <v>104</v>
      </c>
      <c r="G169" s="41">
        <v>1</v>
      </c>
      <c r="H169" s="41">
        <v>1</v>
      </c>
      <c r="I169" s="41">
        <f t="shared" si="6"/>
        <v>0</v>
      </c>
      <c r="J169" s="45"/>
      <c r="K169" s="43"/>
    </row>
    <row r="170" spans="1:11" ht="12.5" x14ac:dyDescent="0.25">
      <c r="A170" s="37">
        <v>45642</v>
      </c>
      <c r="B170" s="38" t="s">
        <v>54</v>
      </c>
      <c r="C170" s="39" t="s">
        <v>226</v>
      </c>
      <c r="D170" s="38" t="s">
        <v>228</v>
      </c>
      <c r="E170" s="40" t="s">
        <v>55</v>
      </c>
      <c r="F170" s="40" t="s">
        <v>104</v>
      </c>
      <c r="G170" s="41">
        <v>0.5</v>
      </c>
      <c r="H170" s="41">
        <v>0.5</v>
      </c>
      <c r="I170" s="41">
        <f t="shared" si="6"/>
        <v>0</v>
      </c>
      <c r="J170" s="45"/>
      <c r="K170" s="43"/>
    </row>
    <row r="171" spans="1:11" ht="12.5" x14ac:dyDescent="0.25">
      <c r="A171" s="37">
        <v>45643</v>
      </c>
      <c r="B171" s="38" t="s">
        <v>54</v>
      </c>
      <c r="C171" s="39" t="s">
        <v>79</v>
      </c>
      <c r="D171" s="38" t="s">
        <v>234</v>
      </c>
      <c r="E171" s="40" t="s">
        <v>61</v>
      </c>
      <c r="F171" s="40" t="s">
        <v>86</v>
      </c>
      <c r="G171" s="41">
        <v>0.25</v>
      </c>
      <c r="H171" s="41">
        <v>0.25</v>
      </c>
      <c r="I171" s="41">
        <f t="shared" si="6"/>
        <v>0</v>
      </c>
      <c r="J171" s="45"/>
      <c r="K171" s="43"/>
    </row>
    <row r="172" spans="1:11" ht="12.5" x14ac:dyDescent="0.25">
      <c r="A172" s="37">
        <v>45643</v>
      </c>
      <c r="B172" s="38" t="s">
        <v>54</v>
      </c>
      <c r="C172" s="39" t="s">
        <v>77</v>
      </c>
      <c r="D172" s="38" t="s">
        <v>233</v>
      </c>
      <c r="E172" s="40" t="s">
        <v>46</v>
      </c>
      <c r="F172" s="40" t="s">
        <v>87</v>
      </c>
      <c r="G172" s="41">
        <v>0.25</v>
      </c>
      <c r="H172" s="41">
        <v>0.25</v>
      </c>
      <c r="I172" s="41">
        <f t="shared" si="6"/>
        <v>0</v>
      </c>
      <c r="J172" s="45"/>
      <c r="K172" s="43"/>
    </row>
    <row r="173" spans="1:11" ht="12.5" x14ac:dyDescent="0.25">
      <c r="A173" s="37">
        <v>45643</v>
      </c>
      <c r="B173" s="38" t="s">
        <v>54</v>
      </c>
      <c r="C173" s="39" t="s">
        <v>235</v>
      </c>
      <c r="D173" s="38" t="s">
        <v>236</v>
      </c>
      <c r="E173" s="40" t="s">
        <v>63</v>
      </c>
      <c r="F173" s="40" t="s">
        <v>86</v>
      </c>
      <c r="G173" s="41">
        <v>1</v>
      </c>
      <c r="H173" s="41">
        <v>0.5</v>
      </c>
      <c r="I173" s="41">
        <f t="shared" si="6"/>
        <v>-0.5</v>
      </c>
      <c r="J173" s="45"/>
      <c r="K173" s="43"/>
    </row>
    <row r="174" spans="1:11" ht="12.5" x14ac:dyDescent="0.25">
      <c r="A174" s="37">
        <v>45643</v>
      </c>
      <c r="B174" s="38" t="s">
        <v>54</v>
      </c>
      <c r="C174" s="39" t="s">
        <v>237</v>
      </c>
      <c r="D174" s="38" t="s">
        <v>238</v>
      </c>
      <c r="E174" s="40" t="s">
        <v>66</v>
      </c>
      <c r="F174" s="40" t="s">
        <v>104</v>
      </c>
      <c r="G174" s="41">
        <v>0.5</v>
      </c>
      <c r="H174" s="41">
        <v>0.5</v>
      </c>
      <c r="I174" s="41">
        <f t="shared" si="6"/>
        <v>0</v>
      </c>
      <c r="J174" s="45"/>
      <c r="K174" s="43"/>
    </row>
    <row r="175" spans="1:11" ht="12.5" x14ac:dyDescent="0.25">
      <c r="A175" s="37">
        <v>45643</v>
      </c>
      <c r="B175" s="38" t="s">
        <v>54</v>
      </c>
      <c r="C175" s="39" t="s">
        <v>237</v>
      </c>
      <c r="D175" s="38" t="s">
        <v>239</v>
      </c>
      <c r="E175" s="40" t="s">
        <v>58</v>
      </c>
      <c r="F175" s="40" t="s">
        <v>184</v>
      </c>
      <c r="G175" s="41">
        <v>1</v>
      </c>
      <c r="H175" s="41">
        <v>1.5</v>
      </c>
      <c r="I175" s="41">
        <f t="shared" si="6"/>
        <v>0.5</v>
      </c>
      <c r="J175" s="45"/>
      <c r="K175" s="43" t="s">
        <v>279</v>
      </c>
    </row>
    <row r="176" spans="1:11" ht="12.5" x14ac:dyDescent="0.25">
      <c r="A176" s="37">
        <v>45643</v>
      </c>
      <c r="B176" s="38" t="s">
        <v>51</v>
      </c>
      <c r="C176" s="39" t="s">
        <v>237</v>
      </c>
      <c r="D176" s="38" t="s">
        <v>240</v>
      </c>
      <c r="E176" s="40" t="s">
        <v>49</v>
      </c>
      <c r="F176" s="40" t="s">
        <v>184</v>
      </c>
      <c r="G176" s="41">
        <v>2</v>
      </c>
      <c r="H176" s="41"/>
      <c r="I176" s="41">
        <f t="shared" si="6"/>
        <v>-2</v>
      </c>
      <c r="J176" s="45"/>
      <c r="K176" s="43"/>
    </row>
    <row r="177" spans="1:11" ht="12.5" x14ac:dyDescent="0.25">
      <c r="A177" s="37">
        <v>45643</v>
      </c>
      <c r="B177" s="38" t="s">
        <v>42</v>
      </c>
      <c r="C177" s="39" t="s">
        <v>237</v>
      </c>
      <c r="D177" s="38" t="s">
        <v>241</v>
      </c>
      <c r="E177" s="40" t="s">
        <v>49</v>
      </c>
      <c r="F177" s="40" t="s">
        <v>184</v>
      </c>
      <c r="G177" s="41">
        <v>2</v>
      </c>
      <c r="H177" s="41"/>
      <c r="I177" s="41">
        <f t="shared" si="6"/>
        <v>-2</v>
      </c>
      <c r="J177" s="45"/>
      <c r="K177" s="43"/>
    </row>
    <row r="178" spans="1:11" ht="12.5" x14ac:dyDescent="0.25">
      <c r="A178" s="37">
        <v>45643</v>
      </c>
      <c r="B178" s="38" t="s">
        <v>54</v>
      </c>
      <c r="C178" s="39" t="s">
        <v>282</v>
      </c>
      <c r="D178" s="38" t="s">
        <v>283</v>
      </c>
      <c r="E178" s="40" t="s">
        <v>66</v>
      </c>
      <c r="F178" s="40" t="s">
        <v>104</v>
      </c>
      <c r="G178" s="41">
        <v>3</v>
      </c>
      <c r="H178" s="41">
        <v>1.5</v>
      </c>
      <c r="I178" s="41">
        <f t="shared" si="6"/>
        <v>-1.5</v>
      </c>
      <c r="J178" s="45"/>
      <c r="K178" s="43" t="s">
        <v>285</v>
      </c>
    </row>
    <row r="179" spans="1:11" ht="12.5" x14ac:dyDescent="0.25">
      <c r="A179" s="37">
        <v>45643</v>
      </c>
      <c r="B179" s="38" t="s">
        <v>54</v>
      </c>
      <c r="C179" s="39" t="s">
        <v>282</v>
      </c>
      <c r="D179" s="38" t="s">
        <v>280</v>
      </c>
      <c r="E179" s="40" t="s">
        <v>55</v>
      </c>
      <c r="F179" s="40" t="s">
        <v>184</v>
      </c>
      <c r="G179" s="41">
        <v>0.5</v>
      </c>
      <c r="H179" s="41">
        <v>0.25</v>
      </c>
      <c r="I179" s="41">
        <f t="shared" si="6"/>
        <v>-0.25</v>
      </c>
      <c r="J179" s="45"/>
      <c r="K179" s="43" t="s">
        <v>286</v>
      </c>
    </row>
    <row r="180" spans="1:11" ht="12.5" x14ac:dyDescent="0.25">
      <c r="A180" s="37">
        <v>45643</v>
      </c>
      <c r="B180" s="38" t="s">
        <v>54</v>
      </c>
      <c r="C180" s="39" t="s">
        <v>282</v>
      </c>
      <c r="D180" s="38" t="s">
        <v>284</v>
      </c>
      <c r="E180" s="40" t="s">
        <v>66</v>
      </c>
      <c r="F180" s="40" t="s">
        <v>104</v>
      </c>
      <c r="G180" s="41">
        <v>3</v>
      </c>
      <c r="H180" s="41">
        <v>2.5</v>
      </c>
      <c r="I180" s="41">
        <f t="shared" si="6"/>
        <v>-0.5</v>
      </c>
      <c r="J180" s="45"/>
      <c r="K180" s="43"/>
    </row>
    <row r="181" spans="1:11" ht="12.5" x14ac:dyDescent="0.25">
      <c r="A181" s="37">
        <v>45645</v>
      </c>
      <c r="B181" s="38" t="s">
        <v>51</v>
      </c>
      <c r="C181" s="39" t="s">
        <v>282</v>
      </c>
      <c r="D181" s="38" t="s">
        <v>281</v>
      </c>
      <c r="E181" s="40" t="s">
        <v>55</v>
      </c>
      <c r="F181" s="40" t="s">
        <v>184</v>
      </c>
      <c r="G181" s="41">
        <v>1</v>
      </c>
      <c r="H181" s="41"/>
      <c r="I181" s="41">
        <f t="shared" si="6"/>
        <v>-1</v>
      </c>
      <c r="J181" s="45"/>
      <c r="K181" s="43" t="s">
        <v>298</v>
      </c>
    </row>
    <row r="182" spans="1:11" ht="12.5" x14ac:dyDescent="0.25">
      <c r="A182" s="37">
        <v>45646</v>
      </c>
      <c r="B182" s="38" t="s">
        <v>54</v>
      </c>
      <c r="C182" s="39" t="s">
        <v>79</v>
      </c>
      <c r="D182" s="38" t="s">
        <v>270</v>
      </c>
      <c r="E182" s="40" t="s">
        <v>61</v>
      </c>
      <c r="F182" s="40" t="s">
        <v>86</v>
      </c>
      <c r="G182" s="41">
        <v>0.25</v>
      </c>
      <c r="H182" s="41">
        <v>0.25</v>
      </c>
      <c r="I182" s="41">
        <f t="shared" si="6"/>
        <v>0</v>
      </c>
      <c r="J182" s="45"/>
      <c r="K182" s="43"/>
    </row>
    <row r="183" spans="1:11" ht="12.5" x14ac:dyDescent="0.25">
      <c r="A183" s="37">
        <v>45646</v>
      </c>
      <c r="B183" s="38" t="s">
        <v>54</v>
      </c>
      <c r="C183" s="39" t="s">
        <v>77</v>
      </c>
      <c r="D183" s="38" t="s">
        <v>287</v>
      </c>
      <c r="E183" s="40" t="s">
        <v>46</v>
      </c>
      <c r="F183" s="40" t="s">
        <v>168</v>
      </c>
      <c r="G183" s="41">
        <v>0.25</v>
      </c>
      <c r="H183" s="41">
        <v>0.25</v>
      </c>
      <c r="I183" s="41">
        <f t="shared" si="6"/>
        <v>0</v>
      </c>
      <c r="J183" s="45"/>
      <c r="K183" s="43"/>
    </row>
    <row r="184" spans="1:11" ht="12.5" x14ac:dyDescent="0.25">
      <c r="A184" s="37">
        <v>45646</v>
      </c>
      <c r="B184" s="38" t="s">
        <v>54</v>
      </c>
      <c r="C184" s="39" t="s">
        <v>288</v>
      </c>
      <c r="D184" s="38" t="s">
        <v>289</v>
      </c>
      <c r="E184" s="40" t="s">
        <v>49</v>
      </c>
      <c r="F184" s="40" t="s">
        <v>104</v>
      </c>
      <c r="G184" s="41">
        <v>1</v>
      </c>
      <c r="H184" s="41">
        <v>3.25</v>
      </c>
      <c r="I184" s="41">
        <f t="shared" si="6"/>
        <v>2.25</v>
      </c>
      <c r="J184" s="45"/>
      <c r="K184" s="43" t="s">
        <v>303</v>
      </c>
    </row>
    <row r="185" spans="1:11" ht="12.5" x14ac:dyDescent="0.25">
      <c r="A185" s="37">
        <v>45646</v>
      </c>
      <c r="B185" s="38" t="s">
        <v>54</v>
      </c>
      <c r="C185" s="39" t="s">
        <v>65</v>
      </c>
      <c r="D185" s="38" t="s">
        <v>300</v>
      </c>
      <c r="E185" s="40" t="s">
        <v>65</v>
      </c>
      <c r="F185" s="40" t="s">
        <v>104</v>
      </c>
      <c r="G185" s="41">
        <v>0.25</v>
      </c>
      <c r="H185" s="41">
        <v>0.25</v>
      </c>
      <c r="I185" s="41">
        <f t="shared" si="6"/>
        <v>0</v>
      </c>
      <c r="J185" s="45"/>
      <c r="K185" s="43"/>
    </row>
    <row r="186" spans="1:11" ht="12.5" x14ac:dyDescent="0.25">
      <c r="A186" s="37">
        <v>45646</v>
      </c>
      <c r="B186" s="38" t="s">
        <v>51</v>
      </c>
      <c r="C186" s="39" t="s">
        <v>288</v>
      </c>
      <c r="D186" s="38" t="s">
        <v>297</v>
      </c>
      <c r="E186" s="40" t="s">
        <v>52</v>
      </c>
      <c r="F186" s="40" t="s">
        <v>104</v>
      </c>
      <c r="G186" s="41">
        <v>1</v>
      </c>
      <c r="H186" s="41"/>
      <c r="I186" s="41">
        <f t="shared" si="6"/>
        <v>-1</v>
      </c>
      <c r="J186" s="45"/>
      <c r="K186" s="43"/>
    </row>
    <row r="187" spans="1:11" ht="12.5" x14ac:dyDescent="0.25">
      <c r="A187" s="37">
        <v>45646</v>
      </c>
      <c r="B187" s="38" t="s">
        <v>42</v>
      </c>
      <c r="C187" s="39" t="s">
        <v>261</v>
      </c>
      <c r="D187" s="38" t="s">
        <v>290</v>
      </c>
      <c r="E187" s="40" t="s">
        <v>49</v>
      </c>
      <c r="F187" s="40" t="s">
        <v>184</v>
      </c>
      <c r="G187" s="41">
        <v>1</v>
      </c>
      <c r="H187" s="41"/>
      <c r="I187" s="41">
        <f t="shared" si="6"/>
        <v>-1</v>
      </c>
      <c r="J187" s="45"/>
      <c r="K187" s="43"/>
    </row>
    <row r="188" spans="1:11" ht="12.5" x14ac:dyDescent="0.25">
      <c r="A188" s="37">
        <v>45646</v>
      </c>
      <c r="B188" s="38" t="s">
        <v>42</v>
      </c>
      <c r="C188" s="39" t="s">
        <v>261</v>
      </c>
      <c r="D188" s="38" t="s">
        <v>291</v>
      </c>
      <c r="E188" s="40" t="s">
        <v>49</v>
      </c>
      <c r="F188" s="40" t="s">
        <v>184</v>
      </c>
      <c r="G188" s="41">
        <v>1</v>
      </c>
      <c r="H188" s="41"/>
      <c r="I188" s="41">
        <f t="shared" si="6"/>
        <v>-1</v>
      </c>
      <c r="J188" s="45"/>
      <c r="K188" s="43"/>
    </row>
    <row r="189" spans="1:11" ht="12.5" x14ac:dyDescent="0.25">
      <c r="A189" s="37">
        <v>45646</v>
      </c>
      <c r="B189" s="38" t="s">
        <v>42</v>
      </c>
      <c r="C189" s="39" t="s">
        <v>261</v>
      </c>
      <c r="D189" s="38" t="s">
        <v>292</v>
      </c>
      <c r="E189" s="40" t="s">
        <v>49</v>
      </c>
      <c r="F189" s="40" t="s">
        <v>184</v>
      </c>
      <c r="G189" s="41">
        <v>1</v>
      </c>
      <c r="H189" s="41"/>
      <c r="I189" s="41">
        <f t="shared" si="6"/>
        <v>-1</v>
      </c>
      <c r="J189" s="45"/>
      <c r="K189" s="43"/>
    </row>
    <row r="190" spans="1:11" ht="12.5" x14ac:dyDescent="0.25">
      <c r="A190" s="37">
        <v>45646</v>
      </c>
      <c r="B190" s="38" t="s">
        <v>42</v>
      </c>
      <c r="C190" s="39" t="s">
        <v>79</v>
      </c>
      <c r="D190" s="38" t="s">
        <v>293</v>
      </c>
      <c r="E190" s="40" t="s">
        <v>63</v>
      </c>
      <c r="F190" s="40" t="s">
        <v>86</v>
      </c>
      <c r="G190" s="41">
        <v>0.25</v>
      </c>
      <c r="H190" s="41"/>
      <c r="I190" s="41">
        <f t="shared" si="6"/>
        <v>-0.25</v>
      </c>
      <c r="J190" s="45"/>
      <c r="K190" s="43"/>
    </row>
    <row r="191" spans="1:11" ht="12.5" x14ac:dyDescent="0.25">
      <c r="A191" s="37">
        <v>45646</v>
      </c>
      <c r="B191" s="38" t="s">
        <v>42</v>
      </c>
      <c r="C191" s="39" t="s">
        <v>207</v>
      </c>
      <c r="D191" s="38" t="s">
        <v>294</v>
      </c>
      <c r="E191" s="40" t="s">
        <v>63</v>
      </c>
      <c r="F191" s="40" t="s">
        <v>87</v>
      </c>
      <c r="G191" s="41">
        <v>0.25</v>
      </c>
      <c r="H191" s="41"/>
      <c r="I191" s="41">
        <f t="shared" si="6"/>
        <v>-0.25</v>
      </c>
      <c r="J191" s="45"/>
      <c r="K191" s="43" t="s">
        <v>299</v>
      </c>
    </row>
    <row r="192" spans="1:11" ht="12.5" x14ac:dyDescent="0.25">
      <c r="A192" s="37">
        <v>45646</v>
      </c>
      <c r="B192" s="38" t="s">
        <v>42</v>
      </c>
      <c r="C192" s="39" t="s">
        <v>79</v>
      </c>
      <c r="D192" s="38" t="s">
        <v>296</v>
      </c>
      <c r="E192" s="40" t="s">
        <v>63</v>
      </c>
      <c r="F192" s="40" t="s">
        <v>86</v>
      </c>
      <c r="G192" s="41">
        <v>0.25</v>
      </c>
      <c r="H192" s="41"/>
      <c r="I192" s="41">
        <f t="shared" si="6"/>
        <v>-0.25</v>
      </c>
      <c r="J192" s="45"/>
      <c r="K192" s="43"/>
    </row>
    <row r="193" spans="1:11" ht="12.5" x14ac:dyDescent="0.25">
      <c r="A193" s="37">
        <v>45646</v>
      </c>
      <c r="B193" s="38" t="s">
        <v>42</v>
      </c>
      <c r="C193" s="39" t="s">
        <v>207</v>
      </c>
      <c r="D193" s="38" t="s">
        <v>295</v>
      </c>
      <c r="E193" s="40" t="s">
        <v>63</v>
      </c>
      <c r="F193" s="40" t="s">
        <v>87</v>
      </c>
      <c r="G193" s="41">
        <v>0.25</v>
      </c>
      <c r="H193" s="41"/>
      <c r="I193" s="41">
        <f t="shared" si="6"/>
        <v>-0.25</v>
      </c>
      <c r="J193" s="45"/>
      <c r="K193" s="43"/>
    </row>
    <row r="194" spans="1:11" ht="12.5" x14ac:dyDescent="0.25">
      <c r="A194" s="13"/>
      <c r="B194" s="15"/>
      <c r="C194" s="15"/>
      <c r="D194" s="15"/>
      <c r="E194" s="15" t="s">
        <v>18</v>
      </c>
      <c r="F194" s="15"/>
      <c r="G194" s="18">
        <f>SUM(G154:G193)</f>
        <v>41.41</v>
      </c>
      <c r="H194" s="18">
        <f>SUM(H154:H193)</f>
        <v>25.66</v>
      </c>
      <c r="I194" s="18">
        <f t="shared" si="6"/>
        <v>-15.749999999999996</v>
      </c>
      <c r="J194" s="19"/>
      <c r="K194" s="46"/>
    </row>
    <row r="195" spans="1:11" ht="18.75" customHeight="1" x14ac:dyDescent="0.25">
      <c r="A195" s="75" t="s">
        <v>24</v>
      </c>
      <c r="B195" s="62"/>
      <c r="C195" s="62"/>
      <c r="D195" s="62"/>
      <c r="E195" s="62"/>
      <c r="F195" s="62"/>
      <c r="G195" s="62"/>
      <c r="H195" s="62"/>
      <c r="I195" s="62"/>
      <c r="J195" s="62"/>
      <c r="K195" s="63"/>
    </row>
    <row r="196" spans="1:11" ht="12.5" x14ac:dyDescent="0.25">
      <c r="A196" s="27" t="s">
        <v>12</v>
      </c>
      <c r="B196" s="71" t="s">
        <v>13</v>
      </c>
      <c r="C196" s="62"/>
      <c r="D196" s="62"/>
      <c r="E196" s="62"/>
      <c r="F196" s="62"/>
      <c r="G196" s="62"/>
      <c r="H196" s="62"/>
      <c r="I196" s="62"/>
      <c r="J196" s="62"/>
      <c r="K196" s="63"/>
    </row>
    <row r="197" spans="1:11" ht="27.75" customHeight="1" x14ac:dyDescent="0.25">
      <c r="A197" s="28" t="s">
        <v>14</v>
      </c>
      <c r="B197" s="71" t="s">
        <v>15</v>
      </c>
      <c r="C197" s="62"/>
      <c r="D197" s="62"/>
      <c r="E197" s="62"/>
      <c r="F197" s="62"/>
      <c r="G197" s="62"/>
      <c r="H197" s="62"/>
      <c r="I197" s="62"/>
      <c r="J197" s="62"/>
      <c r="K197" s="63"/>
    </row>
    <row r="198" spans="1:11" ht="12.5" x14ac:dyDescent="0.25">
      <c r="A198" s="37">
        <v>45663</v>
      </c>
      <c r="B198" s="38" t="s">
        <v>54</v>
      </c>
      <c r="C198" s="39" t="s">
        <v>79</v>
      </c>
      <c r="D198" s="38" t="s">
        <v>311</v>
      </c>
      <c r="E198" s="40" t="s">
        <v>61</v>
      </c>
      <c r="F198" s="40" t="s">
        <v>86</v>
      </c>
      <c r="G198" s="41">
        <v>0.25</v>
      </c>
      <c r="H198" s="41">
        <v>0.25</v>
      </c>
      <c r="I198" s="41">
        <f t="shared" ref="I198:I215" si="7">H198-G198</f>
        <v>0</v>
      </c>
      <c r="J198" s="45"/>
      <c r="K198" s="43"/>
    </row>
    <row r="199" spans="1:11" ht="12.5" x14ac:dyDescent="0.25">
      <c r="A199" s="37">
        <v>45663</v>
      </c>
      <c r="B199" s="38" t="s">
        <v>54</v>
      </c>
      <c r="C199" s="39" t="s">
        <v>207</v>
      </c>
      <c r="D199" s="38" t="s">
        <v>313</v>
      </c>
      <c r="E199" s="40" t="s">
        <v>61</v>
      </c>
      <c r="F199" s="40" t="s">
        <v>87</v>
      </c>
      <c r="G199" s="41">
        <v>0.25</v>
      </c>
      <c r="H199" s="41">
        <v>0.25</v>
      </c>
      <c r="I199" s="41">
        <f t="shared" si="7"/>
        <v>0</v>
      </c>
      <c r="J199" s="45"/>
      <c r="K199" s="43"/>
    </row>
    <row r="200" spans="1:11" ht="12.5" x14ac:dyDescent="0.25">
      <c r="A200" s="37">
        <v>45663</v>
      </c>
      <c r="B200" s="38" t="s">
        <v>54</v>
      </c>
      <c r="C200" s="39" t="s">
        <v>305</v>
      </c>
      <c r="D200" s="38" t="s">
        <v>301</v>
      </c>
      <c r="E200" s="40" t="s">
        <v>66</v>
      </c>
      <c r="F200" s="40" t="s">
        <v>168</v>
      </c>
      <c r="G200" s="41">
        <v>1</v>
      </c>
      <c r="H200" s="41">
        <v>1</v>
      </c>
      <c r="I200" s="41">
        <f t="shared" si="7"/>
        <v>0</v>
      </c>
      <c r="J200" s="45"/>
      <c r="K200" s="43"/>
    </row>
    <row r="201" spans="1:11" ht="12.5" x14ac:dyDescent="0.25">
      <c r="A201" s="37" t="s">
        <v>306</v>
      </c>
      <c r="B201" s="38" t="s">
        <v>54</v>
      </c>
      <c r="C201" s="39" t="s">
        <v>305</v>
      </c>
      <c r="D201" s="38" t="s">
        <v>304</v>
      </c>
      <c r="E201" s="40" t="s">
        <v>58</v>
      </c>
      <c r="F201" s="40" t="s">
        <v>168</v>
      </c>
      <c r="G201" s="41">
        <v>4</v>
      </c>
      <c r="H201" s="41">
        <v>5.25</v>
      </c>
      <c r="I201" s="41">
        <f t="shared" si="7"/>
        <v>1.25</v>
      </c>
      <c r="J201" s="45"/>
      <c r="K201" s="43" t="s">
        <v>310</v>
      </c>
    </row>
    <row r="202" spans="1:11" ht="12.5" x14ac:dyDescent="0.25">
      <c r="A202" s="37" t="s">
        <v>323</v>
      </c>
      <c r="B202" s="38" t="s">
        <v>54</v>
      </c>
      <c r="C202" s="39" t="s">
        <v>305</v>
      </c>
      <c r="D202" s="38" t="s">
        <v>302</v>
      </c>
      <c r="E202" s="40" t="s">
        <v>58</v>
      </c>
      <c r="F202" s="40" t="s">
        <v>168</v>
      </c>
      <c r="G202" s="41">
        <v>4</v>
      </c>
      <c r="H202" s="41">
        <v>5</v>
      </c>
      <c r="I202" s="41">
        <f t="shared" si="7"/>
        <v>1</v>
      </c>
      <c r="J202" s="45"/>
      <c r="K202" s="43"/>
    </row>
    <row r="203" spans="1:11" ht="12.5" x14ac:dyDescent="0.25">
      <c r="A203" s="37">
        <v>45664</v>
      </c>
      <c r="B203" s="38" t="s">
        <v>54</v>
      </c>
      <c r="C203" s="39" t="s">
        <v>65</v>
      </c>
      <c r="D203" s="38" t="s">
        <v>307</v>
      </c>
      <c r="E203" s="40" t="s">
        <v>65</v>
      </c>
      <c r="F203" s="40" t="s">
        <v>104</v>
      </c>
      <c r="G203" s="41">
        <v>1.25</v>
      </c>
      <c r="H203" s="41">
        <v>1.25</v>
      </c>
      <c r="I203" s="41">
        <f t="shared" si="7"/>
        <v>0</v>
      </c>
      <c r="J203" s="45"/>
      <c r="K203" s="43"/>
    </row>
    <row r="204" spans="1:11" ht="12.5" x14ac:dyDescent="0.25">
      <c r="A204" s="37">
        <v>45664</v>
      </c>
      <c r="B204" s="38" t="s">
        <v>42</v>
      </c>
      <c r="C204" s="39" t="s">
        <v>261</v>
      </c>
      <c r="D204" s="38" t="s">
        <v>308</v>
      </c>
      <c r="E204" s="40" t="s">
        <v>49</v>
      </c>
      <c r="F204" s="40" t="s">
        <v>104</v>
      </c>
      <c r="G204" s="41">
        <v>3</v>
      </c>
      <c r="H204" s="41"/>
      <c r="I204" s="41">
        <f t="shared" si="7"/>
        <v>-3</v>
      </c>
      <c r="J204" s="45"/>
      <c r="K204" s="43"/>
    </row>
    <row r="205" spans="1:11" ht="12.5" x14ac:dyDescent="0.25">
      <c r="A205" s="37">
        <v>45664</v>
      </c>
      <c r="B205" s="38" t="s">
        <v>42</v>
      </c>
      <c r="C205" s="39" t="s">
        <v>261</v>
      </c>
      <c r="D205" s="38" t="s">
        <v>309</v>
      </c>
      <c r="E205" s="40" t="s">
        <v>49</v>
      </c>
      <c r="F205" s="40" t="s">
        <v>104</v>
      </c>
      <c r="G205" s="41">
        <v>3</v>
      </c>
      <c r="H205" s="41"/>
      <c r="I205" s="41">
        <f t="shared" si="7"/>
        <v>-3</v>
      </c>
      <c r="J205" s="45"/>
      <c r="K205" s="43"/>
    </row>
    <row r="206" spans="1:11" ht="12.5" x14ac:dyDescent="0.25">
      <c r="A206" s="37">
        <v>45670</v>
      </c>
      <c r="B206" s="38" t="s">
        <v>54</v>
      </c>
      <c r="C206" s="39" t="s">
        <v>321</v>
      </c>
      <c r="D206" s="38" t="s">
        <v>322</v>
      </c>
      <c r="E206" s="40" t="s">
        <v>66</v>
      </c>
      <c r="F206" s="40" t="s">
        <v>184</v>
      </c>
      <c r="G206" s="41">
        <v>2</v>
      </c>
      <c r="H206" s="41">
        <v>1.5</v>
      </c>
      <c r="I206" s="41">
        <f t="shared" si="7"/>
        <v>-0.5</v>
      </c>
      <c r="J206" s="45"/>
      <c r="K206" s="43"/>
    </row>
    <row r="207" spans="1:11" ht="12.5" x14ac:dyDescent="0.25">
      <c r="A207" s="37"/>
      <c r="B207" s="38" t="s">
        <v>42</v>
      </c>
      <c r="C207" s="39" t="s">
        <v>321</v>
      </c>
      <c r="D207" s="38" t="s">
        <v>324</v>
      </c>
      <c r="E207" s="40" t="s">
        <v>58</v>
      </c>
      <c r="F207" s="40" t="s">
        <v>184</v>
      </c>
      <c r="G207" s="41">
        <v>4</v>
      </c>
      <c r="H207" s="41"/>
      <c r="I207" s="41">
        <f t="shared" si="7"/>
        <v>-4</v>
      </c>
      <c r="J207" s="45"/>
      <c r="K207" s="43"/>
    </row>
    <row r="208" spans="1:11" ht="12.5" x14ac:dyDescent="0.25">
      <c r="A208" s="37">
        <v>45671</v>
      </c>
      <c r="B208" s="38" t="s">
        <v>54</v>
      </c>
      <c r="C208" s="39" t="s">
        <v>325</v>
      </c>
      <c r="D208" s="38" t="s">
        <v>326</v>
      </c>
      <c r="E208" s="40" t="s">
        <v>66</v>
      </c>
      <c r="F208" s="40" t="s">
        <v>184</v>
      </c>
      <c r="G208" s="41">
        <v>0.5</v>
      </c>
      <c r="H208" s="41">
        <v>0.5</v>
      </c>
      <c r="I208" s="41">
        <f t="shared" si="7"/>
        <v>0</v>
      </c>
      <c r="J208" s="45"/>
      <c r="K208" s="43"/>
    </row>
    <row r="209" spans="1:11" ht="12.5" x14ac:dyDescent="0.25">
      <c r="A209" s="37">
        <v>45671</v>
      </c>
      <c r="B209" s="38" t="s">
        <v>51</v>
      </c>
      <c r="C209" s="39" t="s">
        <v>325</v>
      </c>
      <c r="D209" s="38" t="s">
        <v>327</v>
      </c>
      <c r="E209" s="40" t="s">
        <v>66</v>
      </c>
      <c r="F209" s="40" t="s">
        <v>184</v>
      </c>
      <c r="G209" s="41">
        <v>1</v>
      </c>
      <c r="H209" s="41"/>
      <c r="I209" s="41">
        <f t="shared" si="7"/>
        <v>-1</v>
      </c>
      <c r="J209" s="45"/>
      <c r="K209" s="43"/>
    </row>
    <row r="210" spans="1:11" ht="12.5" x14ac:dyDescent="0.25">
      <c r="A210" s="37">
        <v>45671</v>
      </c>
      <c r="B210" s="38" t="s">
        <v>42</v>
      </c>
      <c r="C210" s="39" t="s">
        <v>325</v>
      </c>
      <c r="D210" s="38" t="s">
        <v>328</v>
      </c>
      <c r="E210" s="40" t="s">
        <v>66</v>
      </c>
      <c r="F210" s="40" t="s">
        <v>104</v>
      </c>
      <c r="G210" s="41">
        <v>1</v>
      </c>
      <c r="H210" s="41"/>
      <c r="I210" s="41">
        <f t="shared" si="7"/>
        <v>-1</v>
      </c>
      <c r="J210" s="45"/>
      <c r="K210" s="43"/>
    </row>
    <row r="211" spans="1:11" ht="12.5" x14ac:dyDescent="0.25">
      <c r="A211" s="37">
        <v>45671</v>
      </c>
      <c r="B211" s="38" t="s">
        <v>42</v>
      </c>
      <c r="C211" s="39" t="s">
        <v>325</v>
      </c>
      <c r="D211" s="38" t="s">
        <v>329</v>
      </c>
      <c r="E211" s="40" t="s">
        <v>66</v>
      </c>
      <c r="F211" s="40" t="s">
        <v>104</v>
      </c>
      <c r="G211" s="41">
        <v>1</v>
      </c>
      <c r="H211" s="41"/>
      <c r="I211" s="41">
        <f t="shared" si="7"/>
        <v>-1</v>
      </c>
      <c r="J211" s="45"/>
      <c r="K211" s="43"/>
    </row>
    <row r="212" spans="1:11" ht="12.5" x14ac:dyDescent="0.25">
      <c r="A212" s="37">
        <v>45671</v>
      </c>
      <c r="B212" s="38" t="s">
        <v>42</v>
      </c>
      <c r="C212" s="39" t="s">
        <v>325</v>
      </c>
      <c r="D212" s="38" t="s">
        <v>330</v>
      </c>
      <c r="E212" s="40" t="s">
        <v>49</v>
      </c>
      <c r="F212" s="40" t="s">
        <v>104</v>
      </c>
      <c r="G212" s="41">
        <v>2</v>
      </c>
      <c r="H212" s="41"/>
      <c r="I212" s="41">
        <f t="shared" si="7"/>
        <v>-2</v>
      </c>
      <c r="J212" s="45"/>
      <c r="K212" s="43"/>
    </row>
    <row r="213" spans="1:11" ht="12.5" x14ac:dyDescent="0.25">
      <c r="A213" s="37">
        <v>45671</v>
      </c>
      <c r="B213" s="38" t="s">
        <v>42</v>
      </c>
      <c r="C213" s="39" t="s">
        <v>325</v>
      </c>
      <c r="D213" s="38" t="s">
        <v>331</v>
      </c>
      <c r="E213" s="40" t="s">
        <v>49</v>
      </c>
      <c r="F213" s="40" t="s">
        <v>104</v>
      </c>
      <c r="G213" s="41">
        <v>2</v>
      </c>
      <c r="H213" s="41"/>
      <c r="I213" s="41">
        <f t="shared" si="7"/>
        <v>-2</v>
      </c>
      <c r="J213" s="45"/>
      <c r="K213" s="43"/>
    </row>
    <row r="214" spans="1:11" ht="12.5" x14ac:dyDescent="0.25">
      <c r="A214" s="37"/>
      <c r="B214" s="38"/>
      <c r="C214" s="39" t="s">
        <v>17</v>
      </c>
      <c r="D214" s="38"/>
      <c r="E214" s="40"/>
      <c r="F214" s="40"/>
      <c r="G214" s="41"/>
      <c r="H214" s="41"/>
      <c r="I214" s="41">
        <f t="shared" si="7"/>
        <v>0</v>
      </c>
      <c r="J214" s="45"/>
      <c r="K214" s="43"/>
    </row>
    <row r="215" spans="1:11" ht="12.5" x14ac:dyDescent="0.25">
      <c r="A215" s="13"/>
      <c r="B215" s="15"/>
      <c r="C215" s="15"/>
      <c r="D215" s="15"/>
      <c r="E215" s="15" t="s">
        <v>18</v>
      </c>
      <c r="F215" s="15"/>
      <c r="G215" s="18">
        <f t="shared" ref="G215:H215" si="8">SUM(G198:G214)</f>
        <v>30.25</v>
      </c>
      <c r="H215" s="18">
        <f t="shared" si="8"/>
        <v>15</v>
      </c>
      <c r="I215" s="18">
        <f t="shared" si="7"/>
        <v>-15.25</v>
      </c>
      <c r="J215" s="19"/>
      <c r="K215" s="46"/>
    </row>
    <row r="216" spans="1:11" ht="18.75" customHeight="1" x14ac:dyDescent="0.25">
      <c r="A216" s="72" t="s">
        <v>25</v>
      </c>
      <c r="B216" s="62"/>
      <c r="C216" s="62"/>
      <c r="D216" s="62"/>
      <c r="E216" s="62"/>
      <c r="F216" s="62"/>
      <c r="G216" s="62"/>
      <c r="H216" s="62"/>
      <c r="I216" s="62"/>
      <c r="J216" s="62"/>
      <c r="K216" s="63"/>
    </row>
    <row r="217" spans="1:11" ht="12.5" x14ac:dyDescent="0.25">
      <c r="A217" s="29" t="s">
        <v>12</v>
      </c>
      <c r="B217" s="69" t="s">
        <v>13</v>
      </c>
      <c r="C217" s="62"/>
      <c r="D217" s="62"/>
      <c r="E217" s="62"/>
      <c r="F217" s="62"/>
      <c r="G217" s="62"/>
      <c r="H217" s="62"/>
      <c r="I217" s="62"/>
      <c r="J217" s="62"/>
      <c r="K217" s="63"/>
    </row>
    <row r="218" spans="1:11" ht="28.5" customHeight="1" x14ac:dyDescent="0.25">
      <c r="A218" s="30" t="s">
        <v>14</v>
      </c>
      <c r="B218" s="69" t="s">
        <v>15</v>
      </c>
      <c r="C218" s="62"/>
      <c r="D218" s="62"/>
      <c r="E218" s="62"/>
      <c r="F218" s="62"/>
      <c r="G218" s="62"/>
      <c r="H218" s="62"/>
      <c r="I218" s="62"/>
      <c r="J218" s="62"/>
      <c r="K218" s="63"/>
    </row>
    <row r="219" spans="1:11" ht="12.5" x14ac:dyDescent="0.25">
      <c r="A219" s="37">
        <v>45670</v>
      </c>
      <c r="B219" s="38" t="s">
        <v>54</v>
      </c>
      <c r="C219" s="39" t="s">
        <v>79</v>
      </c>
      <c r="D219" s="38" t="s">
        <v>311</v>
      </c>
      <c r="E219" s="40" t="s">
        <v>61</v>
      </c>
      <c r="F219" s="40" t="s">
        <v>86</v>
      </c>
      <c r="G219" s="41">
        <v>0.25</v>
      </c>
      <c r="H219" s="41">
        <v>0.25</v>
      </c>
      <c r="I219" s="41">
        <f t="shared" ref="I219:I229" si="9">H219-G219</f>
        <v>0</v>
      </c>
      <c r="J219" s="45"/>
      <c r="K219" s="43"/>
    </row>
    <row r="220" spans="1:11" ht="12.5" x14ac:dyDescent="0.25">
      <c r="A220" s="37">
        <v>45670</v>
      </c>
      <c r="B220" s="38" t="s">
        <v>54</v>
      </c>
      <c r="C220" s="39" t="s">
        <v>207</v>
      </c>
      <c r="D220" s="38" t="s">
        <v>312</v>
      </c>
      <c r="E220" s="40" t="s">
        <v>61</v>
      </c>
      <c r="F220" s="40" t="s">
        <v>87</v>
      </c>
      <c r="G220" s="41">
        <v>0.25</v>
      </c>
      <c r="H220" s="41">
        <v>0.25</v>
      </c>
      <c r="I220" s="41">
        <f t="shared" si="9"/>
        <v>0</v>
      </c>
      <c r="J220" s="45"/>
      <c r="K220" s="43"/>
    </row>
    <row r="221" spans="1:11" ht="12.5" x14ac:dyDescent="0.25">
      <c r="A221" s="37">
        <v>45670</v>
      </c>
      <c r="B221" s="38" t="s">
        <v>54</v>
      </c>
      <c r="C221" s="39" t="s">
        <v>314</v>
      </c>
      <c r="D221" s="38" t="s">
        <v>315</v>
      </c>
      <c r="E221" s="40" t="s">
        <v>66</v>
      </c>
      <c r="F221" s="40" t="s">
        <v>184</v>
      </c>
      <c r="G221" s="41">
        <v>0.75</v>
      </c>
      <c r="H221" s="41">
        <v>0.75</v>
      </c>
      <c r="I221" s="41">
        <f t="shared" si="9"/>
        <v>0</v>
      </c>
      <c r="J221" s="45"/>
      <c r="K221" s="43"/>
    </row>
    <row r="222" spans="1:11" ht="12.5" x14ac:dyDescent="0.25">
      <c r="A222" s="37">
        <v>45670</v>
      </c>
      <c r="B222" s="38" t="s">
        <v>54</v>
      </c>
      <c r="C222" s="39" t="s">
        <v>314</v>
      </c>
      <c r="D222" s="38" t="s">
        <v>316</v>
      </c>
      <c r="E222" s="40" t="s">
        <v>66</v>
      </c>
      <c r="F222" s="40" t="s">
        <v>184</v>
      </c>
      <c r="G222" s="41">
        <v>0.5</v>
      </c>
      <c r="H222" s="41">
        <v>0.5</v>
      </c>
      <c r="I222" s="41">
        <f t="shared" si="9"/>
        <v>0</v>
      </c>
      <c r="J222" s="45"/>
      <c r="K222" s="43"/>
    </row>
    <row r="223" spans="1:11" ht="12.5" x14ac:dyDescent="0.25">
      <c r="A223" s="37">
        <v>45670</v>
      </c>
      <c r="B223" s="38" t="s">
        <v>54</v>
      </c>
      <c r="C223" s="39" t="s">
        <v>318</v>
      </c>
      <c r="D223" s="38" t="s">
        <v>317</v>
      </c>
      <c r="E223" s="40" t="s">
        <v>63</v>
      </c>
      <c r="F223" s="40" t="s">
        <v>86</v>
      </c>
      <c r="G223" s="41">
        <v>0.5</v>
      </c>
      <c r="H223" s="41">
        <v>0.5</v>
      </c>
      <c r="I223" s="41">
        <f t="shared" si="9"/>
        <v>0</v>
      </c>
      <c r="J223" s="45"/>
      <c r="K223" s="43"/>
    </row>
    <row r="224" spans="1:11" ht="12.5" x14ac:dyDescent="0.25">
      <c r="A224" s="37">
        <v>45670</v>
      </c>
      <c r="B224" s="38" t="s">
        <v>45</v>
      </c>
      <c r="C224" s="39" t="s">
        <v>320</v>
      </c>
      <c r="D224" s="38" t="s">
        <v>319</v>
      </c>
      <c r="E224" s="40" t="s">
        <v>67</v>
      </c>
      <c r="F224" s="40" t="s">
        <v>86</v>
      </c>
      <c r="G224" s="41">
        <v>0.1</v>
      </c>
      <c r="H224" s="41">
        <v>0.1</v>
      </c>
      <c r="I224" s="41">
        <f t="shared" si="9"/>
        <v>0</v>
      </c>
      <c r="J224" s="45"/>
      <c r="K224" s="43"/>
    </row>
    <row r="225" spans="1:11" ht="12.5" x14ac:dyDescent="0.25">
      <c r="A225" s="37">
        <v>45671</v>
      </c>
      <c r="B225" s="38" t="s">
        <v>54</v>
      </c>
      <c r="C225" s="39" t="s">
        <v>79</v>
      </c>
      <c r="D225" s="38" t="s">
        <v>266</v>
      </c>
      <c r="E225" s="40" t="s">
        <v>61</v>
      </c>
      <c r="F225" s="40" t="s">
        <v>86</v>
      </c>
      <c r="G225" s="41">
        <v>0.15</v>
      </c>
      <c r="H225" s="41">
        <v>0.15</v>
      </c>
      <c r="I225" s="41">
        <f t="shared" si="9"/>
        <v>0</v>
      </c>
      <c r="J225" s="45"/>
      <c r="K225" s="43"/>
    </row>
    <row r="226" spans="1:11" ht="12.5" x14ac:dyDescent="0.25">
      <c r="A226" s="37">
        <v>45671</v>
      </c>
      <c r="B226" s="38" t="s">
        <v>54</v>
      </c>
      <c r="C226" s="39" t="s">
        <v>77</v>
      </c>
      <c r="D226" s="38" t="s">
        <v>287</v>
      </c>
      <c r="E226" s="40" t="s">
        <v>46</v>
      </c>
      <c r="F226" s="40" t="s">
        <v>86</v>
      </c>
      <c r="G226" s="41">
        <v>0.25</v>
      </c>
      <c r="H226" s="41">
        <v>0.25</v>
      </c>
      <c r="I226" s="41">
        <f t="shared" si="9"/>
        <v>0</v>
      </c>
      <c r="J226" s="45"/>
      <c r="K226" s="43"/>
    </row>
    <row r="227" spans="1:11" ht="12.5" x14ac:dyDescent="0.25">
      <c r="A227" s="37">
        <v>45671</v>
      </c>
      <c r="B227" s="38" t="s">
        <v>54</v>
      </c>
      <c r="C227" s="39" t="s">
        <v>333</v>
      </c>
      <c r="D227" s="38" t="s">
        <v>332</v>
      </c>
      <c r="E227" s="40" t="s">
        <v>63</v>
      </c>
      <c r="F227" s="40" t="s">
        <v>86</v>
      </c>
      <c r="G227" s="41">
        <v>0.25</v>
      </c>
      <c r="H227" s="41">
        <v>0.25</v>
      </c>
      <c r="I227" s="41">
        <f t="shared" si="9"/>
        <v>0</v>
      </c>
      <c r="J227" s="45"/>
      <c r="K227" s="43"/>
    </row>
    <row r="228" spans="1:11" ht="12.5" x14ac:dyDescent="0.25">
      <c r="A228" s="37"/>
      <c r="B228" s="38"/>
      <c r="C228" s="39" t="s">
        <v>17</v>
      </c>
      <c r="D228" s="38"/>
      <c r="E228" s="40"/>
      <c r="F228" s="40"/>
      <c r="G228" s="41"/>
      <c r="H228" s="41"/>
      <c r="I228" s="41">
        <f t="shared" si="9"/>
        <v>0</v>
      </c>
      <c r="J228" s="45"/>
      <c r="K228" s="43"/>
    </row>
    <row r="229" spans="1:11" ht="12.5" x14ac:dyDescent="0.25">
      <c r="A229" s="13"/>
      <c r="B229" s="15"/>
      <c r="C229" s="15"/>
      <c r="D229" s="15"/>
      <c r="E229" s="15" t="s">
        <v>18</v>
      </c>
      <c r="F229" s="15"/>
      <c r="G229" s="18">
        <f t="shared" ref="G229:H229" si="10">SUM(G219:G228)</f>
        <v>3</v>
      </c>
      <c r="H229" s="18">
        <f t="shared" si="10"/>
        <v>3</v>
      </c>
      <c r="I229" s="18">
        <f t="shared" si="9"/>
        <v>0</v>
      </c>
      <c r="J229" s="19"/>
      <c r="K229" s="46"/>
    </row>
    <row r="230" spans="1:11" ht="18.75" customHeight="1" x14ac:dyDescent="0.25">
      <c r="A230" s="54" t="s">
        <v>26</v>
      </c>
      <c r="B230" s="55"/>
      <c r="C230" s="55"/>
      <c r="D230" s="55"/>
      <c r="E230" s="55"/>
      <c r="F230" s="55"/>
      <c r="G230" s="55"/>
      <c r="H230" s="55"/>
      <c r="I230" s="55"/>
      <c r="J230" s="55"/>
      <c r="K230" s="56"/>
    </row>
    <row r="231" spans="1:11" ht="12.5" x14ac:dyDescent="0.25">
      <c r="A231" s="32" t="s">
        <v>12</v>
      </c>
      <c r="B231" s="57" t="s">
        <v>13</v>
      </c>
      <c r="C231" s="55"/>
      <c r="D231" s="55"/>
      <c r="E231" s="55"/>
      <c r="F231" s="55"/>
      <c r="G231" s="55"/>
      <c r="H231" s="55"/>
      <c r="I231" s="55"/>
      <c r="J231" s="55"/>
      <c r="K231" s="56"/>
    </row>
    <row r="232" spans="1:11" ht="28.5" customHeight="1" x14ac:dyDescent="0.25">
      <c r="A232" s="33" t="s">
        <v>14</v>
      </c>
      <c r="B232" s="57" t="s">
        <v>15</v>
      </c>
      <c r="C232" s="55"/>
      <c r="D232" s="55"/>
      <c r="E232" s="55"/>
      <c r="F232" s="55"/>
      <c r="G232" s="55"/>
      <c r="H232" s="55"/>
      <c r="I232" s="55"/>
      <c r="J232" s="55"/>
      <c r="K232" s="56"/>
    </row>
    <row r="233" spans="1:11" ht="12.5" x14ac:dyDescent="0.25">
      <c r="A233" s="37"/>
      <c r="B233" s="38"/>
      <c r="C233" s="39" t="s">
        <v>17</v>
      </c>
      <c r="D233" s="38"/>
      <c r="E233" s="40"/>
      <c r="F233" s="40"/>
      <c r="G233" s="41"/>
      <c r="H233" s="41"/>
      <c r="I233" s="41">
        <f t="shared" ref="I233:I243" si="11">H233-G233</f>
        <v>0</v>
      </c>
      <c r="J233" s="45"/>
      <c r="K233" s="43"/>
    </row>
    <row r="234" spans="1:11" ht="12.5" x14ac:dyDescent="0.25">
      <c r="A234" s="37"/>
      <c r="B234" s="38"/>
      <c r="C234" s="39" t="s">
        <v>17</v>
      </c>
      <c r="D234" s="38"/>
      <c r="E234" s="40"/>
      <c r="F234" s="40"/>
      <c r="G234" s="41"/>
      <c r="H234" s="41"/>
      <c r="I234" s="41">
        <f t="shared" si="11"/>
        <v>0</v>
      </c>
      <c r="J234" s="45"/>
      <c r="K234" s="43"/>
    </row>
    <row r="235" spans="1:11" ht="12.5" x14ac:dyDescent="0.25">
      <c r="A235" s="37"/>
      <c r="B235" s="38"/>
      <c r="C235" s="39" t="s">
        <v>17</v>
      </c>
      <c r="D235" s="38"/>
      <c r="E235" s="40"/>
      <c r="F235" s="40"/>
      <c r="G235" s="41"/>
      <c r="H235" s="41"/>
      <c r="I235" s="41">
        <f t="shared" si="11"/>
        <v>0</v>
      </c>
      <c r="J235" s="45"/>
      <c r="K235" s="43"/>
    </row>
    <row r="236" spans="1:11" ht="12.5" x14ac:dyDescent="0.25">
      <c r="A236" s="37"/>
      <c r="B236" s="38"/>
      <c r="C236" s="39" t="s">
        <v>17</v>
      </c>
      <c r="D236" s="38"/>
      <c r="E236" s="40"/>
      <c r="F236" s="40"/>
      <c r="G236" s="41"/>
      <c r="H236" s="41"/>
      <c r="I236" s="41">
        <f t="shared" si="11"/>
        <v>0</v>
      </c>
      <c r="J236" s="45"/>
      <c r="K236" s="43"/>
    </row>
    <row r="237" spans="1:11" ht="12.5" x14ac:dyDescent="0.25">
      <c r="A237" s="37"/>
      <c r="B237" s="38"/>
      <c r="C237" s="39" t="s">
        <v>17</v>
      </c>
      <c r="D237" s="38"/>
      <c r="E237" s="40"/>
      <c r="F237" s="40"/>
      <c r="G237" s="41"/>
      <c r="H237" s="41"/>
      <c r="I237" s="41">
        <f t="shared" si="11"/>
        <v>0</v>
      </c>
      <c r="J237" s="45"/>
      <c r="K237" s="43"/>
    </row>
    <row r="238" spans="1:11" ht="12.5" x14ac:dyDescent="0.25">
      <c r="A238" s="37"/>
      <c r="B238" s="38"/>
      <c r="C238" s="39" t="s">
        <v>17</v>
      </c>
      <c r="D238" s="38"/>
      <c r="E238" s="40"/>
      <c r="F238" s="40"/>
      <c r="G238" s="41"/>
      <c r="H238" s="41"/>
      <c r="I238" s="41">
        <f t="shared" si="11"/>
        <v>0</v>
      </c>
      <c r="J238" s="45"/>
      <c r="K238" s="43"/>
    </row>
    <row r="239" spans="1:11" ht="12.5" x14ac:dyDescent="0.25">
      <c r="A239" s="37"/>
      <c r="B239" s="38"/>
      <c r="C239" s="39" t="s">
        <v>17</v>
      </c>
      <c r="D239" s="38"/>
      <c r="E239" s="40"/>
      <c r="F239" s="40"/>
      <c r="G239" s="41"/>
      <c r="H239" s="41"/>
      <c r="I239" s="41">
        <f t="shared" si="11"/>
        <v>0</v>
      </c>
      <c r="J239" s="45"/>
      <c r="K239" s="43"/>
    </row>
    <row r="240" spans="1:11" ht="12.5" x14ac:dyDescent="0.25">
      <c r="A240" s="37"/>
      <c r="B240" s="38"/>
      <c r="C240" s="39" t="s">
        <v>17</v>
      </c>
      <c r="D240" s="38"/>
      <c r="E240" s="40"/>
      <c r="F240" s="40"/>
      <c r="G240" s="41"/>
      <c r="H240" s="41"/>
      <c r="I240" s="41">
        <f t="shared" si="11"/>
        <v>0</v>
      </c>
      <c r="J240" s="45"/>
      <c r="K240" s="43"/>
    </row>
    <row r="241" spans="1:11" ht="12.5" x14ac:dyDescent="0.25">
      <c r="A241" s="37"/>
      <c r="B241" s="38"/>
      <c r="C241" s="39" t="s">
        <v>17</v>
      </c>
      <c r="D241" s="38"/>
      <c r="E241" s="40"/>
      <c r="F241" s="40"/>
      <c r="G241" s="41"/>
      <c r="H241" s="41"/>
      <c r="I241" s="41">
        <f t="shared" si="11"/>
        <v>0</v>
      </c>
      <c r="J241" s="45"/>
      <c r="K241" s="43"/>
    </row>
    <row r="242" spans="1:11" ht="12.5" x14ac:dyDescent="0.25">
      <c r="A242" s="37"/>
      <c r="B242" s="38"/>
      <c r="C242" s="39" t="s">
        <v>17</v>
      </c>
      <c r="D242" s="38"/>
      <c r="E242" s="40"/>
      <c r="F242" s="40"/>
      <c r="G242" s="41"/>
      <c r="H242" s="41"/>
      <c r="I242" s="41">
        <f t="shared" si="11"/>
        <v>0</v>
      </c>
      <c r="J242" s="45"/>
      <c r="K242" s="43"/>
    </row>
    <row r="243" spans="1:11" ht="12.5" x14ac:dyDescent="0.25">
      <c r="A243" s="48"/>
      <c r="B243" s="49"/>
      <c r="C243" s="49"/>
      <c r="D243" s="49"/>
      <c r="E243" s="49" t="s">
        <v>18</v>
      </c>
      <c r="F243" s="49"/>
      <c r="G243" s="50">
        <f t="shared" ref="G243:H243" si="12">SUM(G233:G242)</f>
        <v>0</v>
      </c>
      <c r="H243" s="50">
        <f t="shared" si="12"/>
        <v>0</v>
      </c>
      <c r="I243" s="50">
        <f t="shared" si="11"/>
        <v>0</v>
      </c>
      <c r="J243" s="51"/>
      <c r="K243" s="52"/>
    </row>
  </sheetData>
  <autoFilter ref="A1:K46" xr:uid="{00000000-0009-0000-0000-000000000000}"/>
  <customSheetViews>
    <customSheetView guid="{8BAC9A6B-5D32-4E8D-967D-E17D357516F8}" filter="1" showAutoFilter="1">
      <pageMargins left="0" right="0" top="0" bottom="0" header="0" footer="0"/>
      <autoFilter ref="A1:K15" xr:uid="{DD83653E-2878-4270-B2F3-7C093852FF55}">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B196:K196"/>
    <mergeCell ref="B197:K197"/>
    <mergeCell ref="A216:K216"/>
    <mergeCell ref="B120:K120"/>
    <mergeCell ref="A151:K151"/>
    <mergeCell ref="B152:K152"/>
    <mergeCell ref="B153:K153"/>
    <mergeCell ref="A195:K195"/>
    <mergeCell ref="A230:K230"/>
    <mergeCell ref="B231:K231"/>
    <mergeCell ref="B232:K232"/>
    <mergeCell ref="A2:K2"/>
    <mergeCell ref="B3:K3"/>
    <mergeCell ref="B4:K4"/>
    <mergeCell ref="A47:K47"/>
    <mergeCell ref="B48:K48"/>
    <mergeCell ref="B49:K49"/>
    <mergeCell ref="A83:K83"/>
    <mergeCell ref="B84:K84"/>
    <mergeCell ref="B85:K85"/>
    <mergeCell ref="A118:K118"/>
    <mergeCell ref="B217:K217"/>
    <mergeCell ref="B218:K218"/>
    <mergeCell ref="B119:K119"/>
  </mergeCells>
  <conditionalFormatting sqref="B5:B45 B48:B81 B86:B116 B121:B149 B154:B193 B198:B214 B219:B228">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117 B119:B150 B152:B194 B196:B215 B217:B229 B231:B243">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233:B242">
    <cfRule type="containsText" dxfId="8" priority="1" operator="containsText" text="Unplanned">
      <formula>NOT(ISERROR(SEARCH(("Unplanned"),(B233))))</formula>
    </cfRule>
    <cfRule type="containsText" dxfId="7" priority="2" operator="containsText" text="Planned">
      <formula>NOT(ISERROR(SEARCH(("Planned"),(B233))))</formula>
    </cfRule>
    <cfRule type="containsText" dxfId="6" priority="3" operator="containsText" text="In-Progress">
      <formula>NOT(ISERROR(SEARCH(("In-Progress"),(B233))))</formula>
    </cfRule>
    <cfRule type="containsText" dxfId="5" priority="4" operator="containsText" text="Blocked">
      <formula>NOT(ISERROR(SEARCH(("Blocked"),(B233))))</formula>
    </cfRule>
    <cfRule type="containsText" dxfId="4" priority="5" operator="containsText" text="Done">
      <formula>NOT(ISERROR(SEARCH(("Done"),(B233))))</formula>
    </cfRule>
  </conditionalFormatting>
  <conditionalFormatting sqref="G1 G3:G46 G50:G82 G86:G117 G121:G150 G154:G194 G198:G215 G219:G229 G233:G243">
    <cfRule type="cellIs" dxfId="3" priority="15" operator="greaterThan">
      <formula>4</formula>
    </cfRule>
  </conditionalFormatting>
  <conditionalFormatting sqref="H1:H243">
    <cfRule type="containsBlanks" dxfId="2" priority="16">
      <formula>LEN(TRIM(H1))=0</formula>
    </cfRule>
  </conditionalFormatting>
  <conditionalFormatting sqref="I5:I46 I50:I82 I86:I117 I121:I150 I154:I194 I198:I215 I219:I229 I233:I243">
    <cfRule type="expression" dxfId="1" priority="13">
      <formula>H5/G5&gt;=1.5</formula>
    </cfRule>
    <cfRule type="expression" dxfId="0" priority="14">
      <formula>H5/G5&lt;=0.5</formula>
    </cfRule>
  </conditionalFormatting>
  <dataValidations count="1">
    <dataValidation type="list" allowBlank="1" sqref="F233:F242 F219:F228 F86:F116 F198:F214 F5:F45 F50:F81 F121:F149 F154:F193" xr:uid="{0FAB3063-668E-4727-8636-10D0A6594410}">
      <formula1>"ILO 0.2, ILO 1.2, ILO 2.2, ILO 6.2, ILO 8.1, ILO 8.2, ILO 11.1"</formula1>
    </dataValidation>
  </dataValidations>
  <hyperlinks>
    <hyperlink ref="J29" r:id="rId1" xr:uid="{0999D960-5356-4EE8-BA28-70F36BB764AC}"/>
  </hyperlinks>
  <pageMargins left="0.7" right="0.7" top="0.75" bottom="0.75" header="0.3" footer="0.3"/>
  <pageSetup paperSize="9" scale="52" fitToHeight="0" orientation="landscape" horizontalDpi="1200" verticalDpi="1200" r:id="rId2"/>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E86:E116 E198:E214 E219:E228 E233:E242 E50:E81 E121:E149 E154:E193</xm:sqref>
        </x14:dataValidation>
        <x14:dataValidation type="list" allowBlank="1" xr:uid="{00000000-0002-0000-0000-000002000000}">
          <x14:formula1>
            <xm:f>'Drop-downs'!$A$2:$A$9</xm:f>
          </x14:formula1>
          <xm:sqref>B5:B45 B86:B116 B198:B214 B219:B228 B233:B242 B50:B81 B121:B149 B154:B193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27</v>
      </c>
      <c r="C2" s="2" t="s">
        <v>28</v>
      </c>
      <c r="D2" s="2" t="s">
        <v>29</v>
      </c>
      <c r="E2" s="2" t="s">
        <v>30</v>
      </c>
      <c r="F2" s="2" t="s">
        <v>31</v>
      </c>
      <c r="G2" s="2" t="s">
        <v>32</v>
      </c>
      <c r="H2" s="2" t="s">
        <v>33</v>
      </c>
      <c r="I2" s="2" t="s">
        <v>34</v>
      </c>
      <c r="J2" s="2" t="s">
        <v>35</v>
      </c>
      <c r="K2" s="3" t="s">
        <v>36</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37</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6" t="s">
        <v>38</v>
      </c>
      <c r="C14" s="77"/>
      <c r="D14" s="77"/>
      <c r="E14" s="77"/>
      <c r="F14" s="77"/>
      <c r="G14" s="77"/>
      <c r="H14" s="77"/>
      <c r="I14" s="77"/>
      <c r="J14" s="77"/>
      <c r="K14" s="77"/>
    </row>
    <row r="18" spans="2:6" ht="15" customHeight="1" x14ac:dyDescent="0.25">
      <c r="B18" s="9"/>
    </row>
    <row r="19" spans="2:6" ht="15" customHeight="1" x14ac:dyDescent="0.25">
      <c r="B19" s="78" t="s">
        <v>39</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40</v>
      </c>
      <c r="B1" s="1" t="s">
        <v>4</v>
      </c>
      <c r="C1" s="1" t="s">
        <v>41</v>
      </c>
    </row>
    <row r="2" spans="1:3" ht="15.75" customHeight="1" x14ac:dyDescent="0.25">
      <c r="A2" t="s">
        <v>16</v>
      </c>
      <c r="B2" t="s">
        <v>16</v>
      </c>
      <c r="C2" s="9" t="s">
        <v>16</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2025-01-14T09:34:19Z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