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77673BE8-804C-4BDA-B1A9-8CFA33CE5ED1}"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'Worklog_Tasks&amp;Times'!$A$1:$K$207</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7" i="1" l="1"/>
  <c r="I147" i="1"/>
  <c r="I148" i="1"/>
  <c r="I177" i="1"/>
  <c r="I176" i="1"/>
  <c r="I175" i="1"/>
  <c r="I174" i="1"/>
  <c r="I173" i="1"/>
  <c r="I172" i="1"/>
  <c r="I171" i="1"/>
  <c r="I165" i="1"/>
  <c r="I166" i="1"/>
  <c r="I167" i="1"/>
  <c r="I168" i="1"/>
  <c r="I169" i="1"/>
  <c r="I170" i="1"/>
  <c r="I178"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22" i="1"/>
  <c r="G222" i="1"/>
  <c r="I221" i="1"/>
  <c r="I220" i="1"/>
  <c r="I219" i="1"/>
  <c r="I218" i="1"/>
  <c r="I217" i="1"/>
  <c r="I216" i="1"/>
  <c r="I215" i="1"/>
  <c r="I214" i="1"/>
  <c r="I213" i="1"/>
  <c r="I212" i="1"/>
  <c r="H208" i="1"/>
  <c r="G208" i="1"/>
  <c r="B9" i="2"/>
  <c r="B8" i="2"/>
  <c r="B11" i="2"/>
  <c r="B10" i="2"/>
  <c r="K11" i="2"/>
  <c r="I222" i="1" l="1"/>
  <c r="K8" i="2"/>
  <c r="K10" i="2"/>
  <c r="E12" i="2"/>
  <c r="D12" i="2"/>
  <c r="I208" i="1"/>
  <c r="J12" i="2"/>
  <c r="I12" i="2"/>
  <c r="H12" i="2"/>
  <c r="G12" i="2"/>
  <c r="F12" i="2"/>
  <c r="K9" i="2"/>
  <c r="K7" i="2"/>
  <c r="B7" i="2"/>
  <c r="K6" i="2"/>
  <c r="B6" i="2"/>
  <c r="K5" i="2"/>
  <c r="B5" i="2"/>
  <c r="C12" i="2"/>
  <c r="B4" i="2"/>
  <c r="K3" i="2"/>
  <c r="B3" i="2"/>
  <c r="I207" i="1"/>
  <c r="I206" i="1"/>
  <c r="I205" i="1"/>
  <c r="I204" i="1"/>
  <c r="I203" i="1"/>
  <c r="I202" i="1"/>
  <c r="I201" i="1"/>
  <c r="I200" i="1"/>
  <c r="I199" i="1"/>
  <c r="I198" i="1"/>
  <c r="H194" i="1"/>
  <c r="G194" i="1"/>
  <c r="I193" i="1"/>
  <c r="I192" i="1"/>
  <c r="I191" i="1"/>
  <c r="I190" i="1"/>
  <c r="I189" i="1"/>
  <c r="I188" i="1"/>
  <c r="I187" i="1"/>
  <c r="I186" i="1"/>
  <c r="I185" i="1"/>
  <c r="I184" i="1"/>
  <c r="H180" i="1"/>
  <c r="G180" i="1"/>
  <c r="I179"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80" i="1" l="1"/>
  <c r="I46" i="1"/>
  <c r="K4" i="2"/>
  <c r="I82" i="1"/>
  <c r="I117" i="1"/>
  <c r="I150" i="1"/>
  <c r="I19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<sst xmlns="http://schemas.openxmlformats.org/spreadsheetml/2006/main" count="944" uniqueCount="281">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</sst>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22"/>
  <sheetViews>
    <sheetView tabSelected="1" workbookViewId="0">
      <pane ySplit="1" topLeftCell="A150" activePane="bottomLeft" state="frozen"/>
      <selection pane="bottomLeft" activeCell="D174" sqref="D174"/>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55</v>
      </c>
      <c r="C154" s="39" t="s">
        <v>80</v>
      </c>
      <c r="D154" s="38" t="s">
        <v>212</v>
      </c>
      <c r="E154" s="40" t="s">
        <v>62</v>
      </c>
      <c r="F154" s="40" t="s">
        <v>87</v>
      </c>
      <c r="G154" s="41">
        <v>0.25</v>
      </c>
      <c r="H154" s="41">
        <v>0.25</v>
      </c>
      <c r="I154" s="41">
        <f t="shared" ref="I154:I180"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55</v>
      </c>
      <c r="C175" s="39" t="s">
        <v>238</v>
      </c>
      <c r="D175" s="38" t="s">
        <v>240</v>
      </c>
      <c r="E175" s="40" t="s">
        <v>59</v>
      </c>
      <c r="F175" s="40" t="s">
        <v>185</v>
      </c>
      <c r="G175" s="41">
        <v>1</v>
      </c>
      <c r="H175" s="41">
        <v>1.5</v>
      </c>
      <c r="I175" s="41">
        <f t="shared" si="6"/>
        <v>0.5</v>
      </c>
      <c r="J175" s="45"/>
      <c r="K175" s="43" t="s">
        <v>280</v>
      </c>
    </row>
    <row r="176" spans="1:11" ht="12.5" x14ac:dyDescent="0.25">
      <c r="A176" s="37">
        <v>45643</v>
      </c>
      <c r="B176" s="38" t="s">
        <v>52</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c r="B178" s="38"/>
      <c r="C178" s="39"/>
      <c r="D178" s="38"/>
      <c r="E178" s="40"/>
      <c r="F178" s="40"/>
      <c r="G178" s="41"/>
      <c r="H178" s="41"/>
      <c r="I178" s="41">
        <f t="shared" si="6"/>
        <v>0</v>
      </c>
      <c r="J178" s="45"/>
      <c r="K178" s="43"/>
    </row>
    <row r="179" spans="1:11" ht="12.5" x14ac:dyDescent="0.25">
      <c r="A179" s="37"/>
      <c r="B179" s="38"/>
      <c r="C179" s="39" t="s">
        <v>17</v>
      </c>
      <c r="D179" s="38"/>
      <c r="E179" s="40"/>
      <c r="F179" s="40"/>
      <c r="G179" s="41"/>
      <c r="H179" s="41"/>
      <c r="I179" s="41">
        <f t="shared" si="6"/>
        <v>0</v>
      </c>
      <c r="J179" s="45"/>
      <c r="K179" s="43"/>
    </row>
    <row r="180" spans="1:11" ht="12.5" x14ac:dyDescent="0.25">
      <c r="A180" s="13"/>
      <c r="B180" s="15"/>
      <c r="C180" s="15"/>
      <c r="D180" s="15"/>
      <c r="E180" s="15" t="s">
        <v>18</v>
      </c>
      <c r="F180" s="15"/>
      <c r="G180" s="18">
        <f t="shared" ref="G180:H180" si="7">SUM(G154:G179)</f>
        <v>27.16</v>
      </c>
      <c r="H180" s="18">
        <f t="shared" si="7"/>
        <v>17.41</v>
      </c>
      <c r="I180" s="18">
        <f t="shared" si="6"/>
        <v>-9.75</v>
      </c>
      <c r="J180" s="19"/>
      <c r="K180" s="46"/>
    </row>
    <row r="181" spans="1:11" ht="18.75" customHeight="1" x14ac:dyDescent="0.25">
      <c r="A181" s="61" t="s">
        <v>24</v>
      </c>
      <c r="B181" s="55"/>
      <c r="C181" s="55"/>
      <c r="D181" s="55"/>
      <c r="E181" s="55"/>
      <c r="F181" s="55"/>
      <c r="G181" s="55"/>
      <c r="H181" s="55"/>
      <c r="I181" s="55"/>
      <c r="J181" s="55"/>
      <c r="K181" s="56"/>
    </row>
    <row r="182" spans="1:11" ht="12.5" x14ac:dyDescent="0.25">
      <c r="A182" s="27" t="s">
        <v>12</v>
      </c>
      <c r="B182" s="54" t="s">
        <v>13</v>
      </c>
      <c r="C182" s="55"/>
      <c r="D182" s="55"/>
      <c r="E182" s="55"/>
      <c r="F182" s="55"/>
      <c r="G182" s="55"/>
      <c r="H182" s="55"/>
      <c r="I182" s="55"/>
      <c r="J182" s="55"/>
      <c r="K182" s="56"/>
    </row>
    <row r="183" spans="1:11" ht="27.75" customHeight="1" x14ac:dyDescent="0.25">
      <c r="A183" s="28" t="s">
        <v>14</v>
      </c>
      <c r="B183" s="54" t="s">
        <v>15</v>
      </c>
      <c r="C183" s="55"/>
      <c r="D183" s="55"/>
      <c r="E183" s="55"/>
      <c r="F183" s="55"/>
      <c r="G183" s="55"/>
      <c r="H183" s="55"/>
      <c r="I183" s="55"/>
      <c r="J183" s="55"/>
      <c r="K183" s="56"/>
    </row>
    <row r="184" spans="1:11" ht="12.5" x14ac:dyDescent="0.25">
      <c r="A184" s="37"/>
      <c r="B184" s="38"/>
      <c r="C184" s="39" t="s">
        <v>17</v>
      </c>
      <c r="D184" s="38"/>
      <c r="E184" s="40"/>
      <c r="F184" s="40"/>
      <c r="G184" s="41"/>
      <c r="H184" s="41"/>
      <c r="I184" s="41">
        <f t="shared" ref="I184:I194" si="8">H184-G184</f>
        <v>0</v>
      </c>
      <c r="J184" s="45"/>
      <c r="K184" s="43"/>
    </row>
    <row r="185" spans="1:11" ht="12.5" x14ac:dyDescent="0.25">
      <c r="A185" s="37"/>
      <c r="B185" s="38"/>
      <c r="C185" s="39" t="s">
        <v>17</v>
      </c>
      <c r="D185" s="38"/>
      <c r="E185" s="40"/>
      <c r="F185" s="40"/>
      <c r="G185" s="41"/>
      <c r="H185" s="41"/>
      <c r="I185" s="41">
        <f t="shared" si="8"/>
        <v>0</v>
      </c>
      <c r="J185" s="45"/>
      <c r="K185" s="43"/>
    </row>
    <row r="186" spans="1:11" ht="12.5" x14ac:dyDescent="0.25">
      <c r="A186" s="37"/>
      <c r="B186" s="38"/>
      <c r="C186" s="39" t="s">
        <v>17</v>
      </c>
      <c r="D186" s="38"/>
      <c r="E186" s="40"/>
      <c r="F186" s="40"/>
      <c r="G186" s="41"/>
      <c r="H186" s="41"/>
      <c r="I186" s="41">
        <f t="shared" si="8"/>
        <v>0</v>
      </c>
      <c r="J186" s="45"/>
      <c r="K186" s="43" t="s">
        <v>25</v>
      </c>
    </row>
    <row r="187" spans="1:11" ht="12.5" x14ac:dyDescent="0.25">
      <c r="A187" s="37"/>
      <c r="B187" s="38"/>
      <c r="C187" s="39" t="s">
        <v>17</v>
      </c>
      <c r="D187" s="38"/>
      <c r="E187" s="40"/>
      <c r="F187" s="40"/>
      <c r="G187" s="41"/>
      <c r="H187" s="41"/>
      <c r="I187" s="41">
        <f t="shared" si="8"/>
        <v>0</v>
      </c>
      <c r="J187" s="45"/>
      <c r="K187" s="43"/>
    </row>
    <row r="188" spans="1:11" ht="12.5" x14ac:dyDescent="0.25">
      <c r="A188" s="37"/>
      <c r="B188" s="38"/>
      <c r="C188" s="39" t="s">
        <v>17</v>
      </c>
      <c r="D188" s="38"/>
      <c r="E188" s="40"/>
      <c r="F188" s="40"/>
      <c r="G188" s="41"/>
      <c r="H188" s="41"/>
      <c r="I188" s="41">
        <f t="shared" si="8"/>
        <v>0</v>
      </c>
      <c r="J188" s="45"/>
      <c r="K188" s="43"/>
    </row>
    <row r="189" spans="1:11" ht="12.5" x14ac:dyDescent="0.25">
      <c r="A189" s="37"/>
      <c r="B189" s="38"/>
      <c r="C189" s="39" t="s">
        <v>17</v>
      </c>
      <c r="D189" s="38"/>
      <c r="E189" s="40"/>
      <c r="F189" s="40"/>
      <c r="G189" s="41"/>
      <c r="H189" s="41"/>
      <c r="I189" s="41">
        <f t="shared" si="8"/>
        <v>0</v>
      </c>
      <c r="J189" s="45"/>
      <c r="K189" s="43"/>
    </row>
    <row r="190" spans="1:11" ht="12.5" x14ac:dyDescent="0.25">
      <c r="A190" s="37"/>
      <c r="B190" s="38"/>
      <c r="C190" s="39" t="s">
        <v>17</v>
      </c>
      <c r="D190" s="38"/>
      <c r="E190" s="40"/>
      <c r="F190" s="40"/>
      <c r="G190" s="41"/>
      <c r="H190" s="41"/>
      <c r="I190" s="41">
        <f t="shared" si="8"/>
        <v>0</v>
      </c>
      <c r="J190" s="45"/>
      <c r="K190" s="43"/>
    </row>
    <row r="191" spans="1:11" ht="12.5" x14ac:dyDescent="0.25">
      <c r="A191" s="37"/>
      <c r="B191" s="38"/>
      <c r="C191" s="39" t="s">
        <v>17</v>
      </c>
      <c r="D191" s="38"/>
      <c r="E191" s="40"/>
      <c r="F191" s="40"/>
      <c r="G191" s="41"/>
      <c r="H191" s="41"/>
      <c r="I191" s="41">
        <f t="shared" si="8"/>
        <v>0</v>
      </c>
      <c r="J191" s="45"/>
      <c r="K191" s="43"/>
    </row>
    <row r="192" spans="1:11" ht="12.5" x14ac:dyDescent="0.25">
      <c r="A192" s="37"/>
      <c r="B192" s="38"/>
      <c r="C192" s="39" t="s">
        <v>17</v>
      </c>
      <c r="D192" s="38"/>
      <c r="E192" s="40"/>
      <c r="F192" s="40"/>
      <c r="G192" s="41"/>
      <c r="H192" s="41"/>
      <c r="I192" s="41">
        <f t="shared" si="8"/>
        <v>0</v>
      </c>
      <c r="J192" s="45"/>
      <c r="K192" s="43"/>
    </row>
    <row r="193" spans="1:11" ht="12.5" x14ac:dyDescent="0.25">
      <c r="A193" s="37"/>
      <c r="B193" s="38"/>
      <c r="C193" s="39" t="s">
        <v>17</v>
      </c>
      <c r="D193" s="38"/>
      <c r="E193" s="40"/>
      <c r="F193" s="40"/>
      <c r="G193" s="41"/>
      <c r="H193" s="41"/>
      <c r="I193" s="41">
        <f t="shared" si="8"/>
        <v>0</v>
      </c>
      <c r="J193" s="45"/>
      <c r="K193" s="43"/>
    </row>
    <row r="194" spans="1:11" ht="12.5" x14ac:dyDescent="0.25">
      <c r="A194" s="13"/>
      <c r="B194" s="15"/>
      <c r="C194" s="15"/>
      <c r="D194" s="15"/>
      <c r="E194" s="15" t="s">
        <v>18</v>
      </c>
      <c r="F194" s="15"/>
      <c r="G194" s="18">
        <f t="shared" ref="G194:H194" si="9">SUM(G184:G193)</f>
        <v>0</v>
      </c>
      <c r="H194" s="18">
        <f t="shared" si="9"/>
        <v>0</v>
      </c>
      <c r="I194" s="18">
        <f t="shared" si="8"/>
        <v>0</v>
      </c>
      <c r="J194" s="19"/>
      <c r="K194" s="46"/>
    </row>
    <row r="195" spans="1:11" ht="18.75" customHeight="1" x14ac:dyDescent="0.25">
      <c r="A195" s="57" t="s">
        <v>26</v>
      </c>
      <c r="B195" s="55"/>
      <c r="C195" s="55"/>
      <c r="D195" s="55"/>
      <c r="E195" s="55"/>
      <c r="F195" s="55"/>
      <c r="G195" s="55"/>
      <c r="H195" s="55"/>
      <c r="I195" s="55"/>
      <c r="J195" s="55"/>
      <c r="K195" s="56"/>
    </row>
    <row r="196" spans="1:11" ht="12.5" x14ac:dyDescent="0.25">
      <c r="A196" s="29" t="s">
        <v>12</v>
      </c>
      <c r="B196" s="75" t="s">
        <v>13</v>
      </c>
      <c r="C196" s="55"/>
      <c r="D196" s="55"/>
      <c r="E196" s="55"/>
      <c r="F196" s="55"/>
      <c r="G196" s="55"/>
      <c r="H196" s="55"/>
      <c r="I196" s="55"/>
      <c r="J196" s="55"/>
      <c r="K196" s="56"/>
    </row>
    <row r="197" spans="1:11" ht="28.5" customHeight="1" x14ac:dyDescent="0.25">
      <c r="A197" s="30" t="s">
        <v>14</v>
      </c>
      <c r="B197" s="75" t="s">
        <v>15</v>
      </c>
      <c r="C197" s="55"/>
      <c r="D197" s="55"/>
      <c r="E197" s="55"/>
      <c r="F197" s="55"/>
      <c r="G197" s="55"/>
      <c r="H197" s="55"/>
      <c r="I197" s="55"/>
      <c r="J197" s="55"/>
      <c r="K197" s="56"/>
    </row>
    <row r="198" spans="1:11" ht="12.5" x14ac:dyDescent="0.25">
      <c r="A198" s="37"/>
      <c r="B198" s="38"/>
      <c r="C198" s="39" t="s">
        <v>17</v>
      </c>
      <c r="D198" s="38"/>
      <c r="E198" s="40"/>
      <c r="F198" s="40"/>
      <c r="G198" s="41"/>
      <c r="H198" s="41"/>
      <c r="I198" s="41">
        <f t="shared" ref="I198:I208" si="10">H198-G198</f>
        <v>0</v>
      </c>
      <c r="J198" s="45"/>
      <c r="K198" s="43"/>
    </row>
    <row r="199" spans="1:11" ht="12.5" x14ac:dyDescent="0.25">
      <c r="A199" s="37"/>
      <c r="B199" s="38"/>
      <c r="C199" s="39" t="s">
        <v>17</v>
      </c>
      <c r="D199" s="38"/>
      <c r="E199" s="40"/>
      <c r="F199" s="40"/>
      <c r="G199" s="41"/>
      <c r="H199" s="41"/>
      <c r="I199" s="41">
        <f t="shared" si="10"/>
        <v>0</v>
      </c>
      <c r="J199" s="45"/>
      <c r="K199" s="43"/>
    </row>
    <row r="200" spans="1:11" ht="12.5" x14ac:dyDescent="0.25">
      <c r="A200" s="37"/>
      <c r="B200" s="38"/>
      <c r="C200" s="39" t="s">
        <v>17</v>
      </c>
      <c r="D200" s="38"/>
      <c r="E200" s="40"/>
      <c r="F200" s="40"/>
      <c r="G200" s="41"/>
      <c r="H200" s="41"/>
      <c r="I200" s="41">
        <f t="shared" si="10"/>
        <v>0</v>
      </c>
      <c r="J200" s="45"/>
      <c r="K200" s="43"/>
    </row>
    <row r="201" spans="1:11" ht="12.5" x14ac:dyDescent="0.25">
      <c r="A201" s="37"/>
      <c r="B201" s="38"/>
      <c r="C201" s="39" t="s">
        <v>17</v>
      </c>
      <c r="D201" s="38"/>
      <c r="E201" s="40"/>
      <c r="F201" s="40"/>
      <c r="G201" s="41"/>
      <c r="H201" s="41"/>
      <c r="I201" s="41">
        <f t="shared" si="10"/>
        <v>0</v>
      </c>
      <c r="J201" s="45"/>
      <c r="K201" s="43"/>
    </row>
    <row r="202" spans="1:11" ht="12.5" x14ac:dyDescent="0.25">
      <c r="A202" s="37"/>
      <c r="B202" s="38"/>
      <c r="C202" s="39" t="s">
        <v>17</v>
      </c>
      <c r="D202" s="38"/>
      <c r="E202" s="40"/>
      <c r="F202" s="40"/>
      <c r="G202" s="41"/>
      <c r="H202" s="41"/>
      <c r="I202" s="41">
        <f t="shared" si="10"/>
        <v>0</v>
      </c>
      <c r="J202" s="45"/>
      <c r="K202" s="43"/>
    </row>
    <row r="203" spans="1:11" ht="12.5" x14ac:dyDescent="0.25">
      <c r="A203" s="37"/>
      <c r="B203" s="38"/>
      <c r="C203" s="39" t="s">
        <v>17</v>
      </c>
      <c r="D203" s="38"/>
      <c r="E203" s="40"/>
      <c r="F203" s="40"/>
      <c r="G203" s="41"/>
      <c r="H203" s="41"/>
      <c r="I203" s="41">
        <f t="shared" si="10"/>
        <v>0</v>
      </c>
      <c r="J203" s="45"/>
      <c r="K203" s="43"/>
    </row>
    <row r="204" spans="1:11" ht="12.5" x14ac:dyDescent="0.25">
      <c r="A204" s="37"/>
      <c r="B204" s="38"/>
      <c r="C204" s="39" t="s">
        <v>17</v>
      </c>
      <c r="D204" s="38"/>
      <c r="E204" s="40"/>
      <c r="F204" s="40"/>
      <c r="G204" s="41"/>
      <c r="H204" s="41"/>
      <c r="I204" s="41">
        <f t="shared" si="10"/>
        <v>0</v>
      </c>
      <c r="J204" s="45"/>
      <c r="K204" s="43"/>
    </row>
    <row r="205" spans="1:11" ht="12.5" x14ac:dyDescent="0.25">
      <c r="A205" s="37"/>
      <c r="B205" s="38"/>
      <c r="C205" s="39" t="s">
        <v>17</v>
      </c>
      <c r="D205" s="38"/>
      <c r="E205" s="40"/>
      <c r="F205" s="40"/>
      <c r="G205" s="41"/>
      <c r="H205" s="41"/>
      <c r="I205" s="41">
        <f t="shared" si="10"/>
        <v>0</v>
      </c>
      <c r="J205" s="45"/>
      <c r="K205" s="43"/>
    </row>
    <row r="206" spans="1:11" ht="12.5" x14ac:dyDescent="0.25">
      <c r="A206" s="37"/>
      <c r="B206" s="38"/>
      <c r="C206" s="39" t="s">
        <v>17</v>
      </c>
      <c r="D206" s="38"/>
      <c r="E206" s="40"/>
      <c r="F206" s="40"/>
      <c r="G206" s="41"/>
      <c r="H206" s="41"/>
      <c r="I206" s="41">
        <f t="shared" si="10"/>
        <v>0</v>
      </c>
      <c r="J206" s="45"/>
      <c r="K206" s="43"/>
    </row>
    <row r="207" spans="1:11" ht="12.5" x14ac:dyDescent="0.25">
      <c r="A207" s="37"/>
      <c r="B207" s="38"/>
      <c r="C207" s="39" t="s">
        <v>17</v>
      </c>
      <c r="D207" s="38"/>
      <c r="E207" s="40"/>
      <c r="F207" s="40"/>
      <c r="G207" s="41"/>
      <c r="H207" s="41"/>
      <c r="I207" s="41">
        <f t="shared" si="10"/>
        <v>0</v>
      </c>
      <c r="J207" s="45"/>
      <c r="K207" s="43"/>
    </row>
    <row r="208" spans="1:11" ht="12.5" x14ac:dyDescent="0.25">
      <c r="A208" s="13"/>
      <c r="B208" s="15"/>
      <c r="C208" s="15"/>
      <c r="D208" s="15"/>
      <c r="E208" s="15" t="s">
        <v>18</v>
      </c>
      <c r="F208" s="15"/>
      <c r="G208" s="18">
        <f t="shared" ref="G208:H208" si="11">SUM(G198:G207)</f>
        <v>0</v>
      </c>
      <c r="H208" s="18">
        <f t="shared" si="11"/>
        <v>0</v>
      </c>
      <c r="I208" s="18">
        <f t="shared" si="10"/>
        <v>0</v>
      </c>
      <c r="J208" s="19"/>
      <c r="K208" s="46"/>
    </row>
    <row r="209" spans="1:11" ht="18.75" customHeight="1" x14ac:dyDescent="0.25">
      <c r="A209" s="62" t="s">
        <v>27</v>
      </c>
      <c r="B209" s="63"/>
      <c r="C209" s="63"/>
      <c r="D209" s="63"/>
      <c r="E209" s="63"/>
      <c r="F209" s="63"/>
      <c r="G209" s="63"/>
      <c r="H209" s="63"/>
      <c r="I209" s="63"/>
      <c r="J209" s="63"/>
      <c r="K209" s="64"/>
    </row>
    <row r="210" spans="1:11" ht="12.5" x14ac:dyDescent="0.25">
      <c r="A210" s="32" t="s">
        <v>12</v>
      </c>
      <c r="B210" s="65" t="s">
        <v>13</v>
      </c>
      <c r="C210" s="63"/>
      <c r="D210" s="63"/>
      <c r="E210" s="63"/>
      <c r="F210" s="63"/>
      <c r="G210" s="63"/>
      <c r="H210" s="63"/>
      <c r="I210" s="63"/>
      <c r="J210" s="63"/>
      <c r="K210" s="64"/>
    </row>
    <row r="211" spans="1:11" ht="28.5" customHeight="1" x14ac:dyDescent="0.25">
      <c r="A211" s="33" t="s">
        <v>14</v>
      </c>
      <c r="B211" s="65" t="s">
        <v>15</v>
      </c>
      <c r="C211" s="63"/>
      <c r="D211" s="63"/>
      <c r="E211" s="63"/>
      <c r="F211" s="63"/>
      <c r="G211" s="63"/>
      <c r="H211" s="63"/>
      <c r="I211" s="63"/>
      <c r="J211" s="63"/>
      <c r="K211" s="64"/>
    </row>
    <row r="212" spans="1:11" ht="12.5" x14ac:dyDescent="0.25">
      <c r="A212" s="37"/>
      <c r="B212" s="38"/>
      <c r="C212" s="39" t="s">
        <v>17</v>
      </c>
      <c r="D212" s="38"/>
      <c r="E212" s="40"/>
      <c r="F212" s="40"/>
      <c r="G212" s="41"/>
      <c r="H212" s="41"/>
      <c r="I212" s="41">
        <f t="shared" ref="I212:I222" si="12">H212-G212</f>
        <v>0</v>
      </c>
      <c r="J212" s="45"/>
      <c r="K212" s="43"/>
    </row>
    <row r="213" spans="1:11" ht="12.5" x14ac:dyDescent="0.25">
      <c r="A213" s="37"/>
      <c r="B213" s="38"/>
      <c r="C213" s="39" t="s">
        <v>17</v>
      </c>
      <c r="D213" s="38"/>
      <c r="E213" s="40"/>
      <c r="F213" s="40"/>
      <c r="G213" s="41"/>
      <c r="H213" s="41"/>
      <c r="I213" s="41">
        <f t="shared" si="12"/>
        <v>0</v>
      </c>
      <c r="J213" s="45"/>
      <c r="K213" s="43"/>
    </row>
    <row r="214" spans="1:11" ht="12.5" x14ac:dyDescent="0.25">
      <c r="A214" s="37"/>
      <c r="B214" s="38"/>
      <c r="C214" s="39" t="s">
        <v>17</v>
      </c>
      <c r="D214" s="38"/>
      <c r="E214" s="40"/>
      <c r="F214" s="40"/>
      <c r="G214" s="41"/>
      <c r="H214" s="41"/>
      <c r="I214" s="41">
        <f t="shared" si="12"/>
        <v>0</v>
      </c>
      <c r="J214" s="45"/>
      <c r="K214" s="43"/>
    </row>
    <row r="215" spans="1:11" ht="12.5" x14ac:dyDescent="0.25">
      <c r="A215" s="37"/>
      <c r="B215" s="38"/>
      <c r="C215" s="39" t="s">
        <v>17</v>
      </c>
      <c r="D215" s="38"/>
      <c r="E215" s="40"/>
      <c r="F215" s="40"/>
      <c r="G215" s="41"/>
      <c r="H215" s="41"/>
      <c r="I215" s="41">
        <f t="shared" si="12"/>
        <v>0</v>
      </c>
      <c r="J215" s="45"/>
      <c r="K215" s="43"/>
    </row>
    <row r="216" spans="1:11" ht="12.5" x14ac:dyDescent="0.25">
      <c r="A216" s="37"/>
      <c r="B216" s="38"/>
      <c r="C216" s="39" t="s">
        <v>17</v>
      </c>
      <c r="D216" s="38"/>
      <c r="E216" s="40"/>
      <c r="F216" s="40"/>
      <c r="G216" s="41"/>
      <c r="H216" s="41"/>
      <c r="I216" s="41">
        <f t="shared" si="12"/>
        <v>0</v>
      </c>
      <c r="J216" s="45"/>
      <c r="K216" s="43"/>
    </row>
    <row r="217" spans="1:11" ht="12.5" x14ac:dyDescent="0.25">
      <c r="A217" s="37"/>
      <c r="B217" s="38"/>
      <c r="C217" s="39" t="s">
        <v>17</v>
      </c>
      <c r="D217" s="38"/>
      <c r="E217" s="40"/>
      <c r="F217" s="40"/>
      <c r="G217" s="41"/>
      <c r="H217" s="41"/>
      <c r="I217" s="41">
        <f t="shared" si="12"/>
        <v>0</v>
      </c>
      <c r="J217" s="45"/>
      <c r="K217" s="43"/>
    </row>
    <row r="218" spans="1:11" ht="12.5" x14ac:dyDescent="0.25">
      <c r="A218" s="37"/>
      <c r="B218" s="38"/>
      <c r="C218" s="39" t="s">
        <v>17</v>
      </c>
      <c r="D218" s="38"/>
      <c r="E218" s="40"/>
      <c r="F218" s="40"/>
      <c r="G218" s="41"/>
      <c r="H218" s="41"/>
      <c r="I218" s="41">
        <f t="shared" si="12"/>
        <v>0</v>
      </c>
      <c r="J218" s="45"/>
      <c r="K218" s="43"/>
    </row>
    <row r="219" spans="1:11" ht="12.5" x14ac:dyDescent="0.25">
      <c r="A219" s="37"/>
      <c r="B219" s="38"/>
      <c r="C219" s="39" t="s">
        <v>17</v>
      </c>
      <c r="D219" s="38"/>
      <c r="E219" s="40"/>
      <c r="F219" s="40"/>
      <c r="G219" s="41"/>
      <c r="H219" s="41"/>
      <c r="I219" s="41">
        <f t="shared" si="12"/>
        <v>0</v>
      </c>
      <c r="J219" s="45"/>
      <c r="K219" s="43"/>
    </row>
    <row r="220" spans="1:11" ht="12.5" x14ac:dyDescent="0.25">
      <c r="A220" s="37"/>
      <c r="B220" s="38"/>
      <c r="C220" s="39" t="s">
        <v>17</v>
      </c>
      <c r="D220" s="38"/>
      <c r="E220" s="40"/>
      <c r="F220" s="40"/>
      <c r="G220" s="41"/>
      <c r="H220" s="41"/>
      <c r="I220" s="41">
        <f t="shared" si="12"/>
        <v>0</v>
      </c>
      <c r="J220" s="45"/>
      <c r="K220" s="43"/>
    </row>
    <row r="221" spans="1:11" ht="12.5" x14ac:dyDescent="0.25">
      <c r="A221" s="37"/>
      <c r="B221" s="38"/>
      <c r="C221" s="39" t="s">
        <v>17</v>
      </c>
      <c r="D221" s="38"/>
      <c r="E221" s="40"/>
      <c r="F221" s="40"/>
      <c r="G221" s="41"/>
      <c r="H221" s="41"/>
      <c r="I221" s="41">
        <f t="shared" si="12"/>
        <v>0</v>
      </c>
      <c r="J221" s="45"/>
      <c r="K221" s="43"/>
    </row>
    <row r="222" spans="1:11" ht="12.5" x14ac:dyDescent="0.25">
      <c r="A222" s="48"/>
      <c r="B222" s="49"/>
      <c r="C222" s="49"/>
      <c r="D222" s="49"/>
      <c r="E222" s="49" t="s">
        <v>18</v>
      </c>
      <c r="F222" s="49"/>
      <c r="G222" s="50">
        <f t="shared" ref="G222:H222" si="13">SUM(G212:G221)</f>
        <v>0</v>
      </c>
      <c r="H222" s="50">
        <f t="shared" si="13"/>
        <v>0</v>
      </c>
      <c r="I222" s="50">
        <f t="shared" si="12"/>
        <v>0</v>
      </c>
      <c r="J222" s="51"/>
      <c r="K222" s="52"/>
    </row>
  </sheetData>
  <autoFilter ref="A1:K46" xr:uid="{00000000-0009-0000-0000-000000000000}"/>
  <customSheetViews>
    <customSheetView guid="{8BAC9A6B-5D32-4E8D-967D-E17D357516F8}" filter="1" showAutoFilter="1">
      <pageMargins left="0" right="0" top="0" bottom="0" header="0" footer="0"/>
      <autoFilter ref="A1:K15" xr:uid="{746F7D6D-6DAD-4C2D-BC98-A9B5ADA04487}">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09:K209"/>
    <mergeCell ref="B210:K210"/>
    <mergeCell ref="B211:K211"/>
    <mergeCell ref="A2:K2"/>
    <mergeCell ref="B3:K3"/>
    <mergeCell ref="B4:K4"/>
    <mergeCell ref="A47:K47"/>
    <mergeCell ref="B48:K48"/>
    <mergeCell ref="B49:K49"/>
    <mergeCell ref="A83:K83"/>
    <mergeCell ref="B84:K84"/>
    <mergeCell ref="B85:K85"/>
    <mergeCell ref="A118:K118"/>
    <mergeCell ref="B196:K196"/>
    <mergeCell ref="B197:K197"/>
    <mergeCell ref="B119:K119"/>
    <mergeCell ref="B182:K182"/>
    <mergeCell ref="B183:K183"/>
    <mergeCell ref="A195:K195"/>
    <mergeCell ref="B120:K120"/>
    <mergeCell ref="A151:K151"/>
    <mergeCell ref="B152:K152"/>
    <mergeCell ref="B153:K153"/>
    <mergeCell ref="A181:K181"/>
  </mergeCells>
  <conditionalFormatting sqref="B5:B45 B48:B81 B86:B116 B121:B149 B154:B179 B184:B193 B198:B207">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80 B182:B194 B196:B208 B210:B222">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12:B221">
    <cfRule type="containsText" dxfId="8" priority="1" operator="containsText" text="Unplanned">
      <formula>NOT(ISERROR(SEARCH(("Unplanned"),(B212))))</formula>
    </cfRule>
    <cfRule type="containsText" dxfId="7" priority="2" operator="containsText" text="Planned">
      <formula>NOT(ISERROR(SEARCH(("Planned"),(B212))))</formula>
    </cfRule>
    <cfRule type="containsText" dxfId="6" priority="3" operator="containsText" text="In-Progress">
      <formula>NOT(ISERROR(SEARCH(("In-Progress"),(B212))))</formula>
    </cfRule>
    <cfRule type="containsText" dxfId="5" priority="4" operator="containsText" text="Blocked">
      <formula>NOT(ISERROR(SEARCH(("Blocked"),(B212))))</formula>
    </cfRule>
    <cfRule type="containsText" dxfId="4" priority="5" operator="containsText" text="Done">
      <formula>NOT(ISERROR(SEARCH(("Done"),(B212))))</formula>
    </cfRule>
  </conditionalFormatting>
  <conditionalFormatting sqref="G1 G3:G46 G50:G82 G86:G117 G121:G150 G154:G180 G184:G194 G198:G208 G212:G222">
    <cfRule type="cellIs" dxfId="3" priority="15" operator="greaterThan">
      <formula>4</formula>
    </cfRule>
  </conditionalFormatting>
  <conditionalFormatting sqref="H1:H222">
    <cfRule type="containsBlanks" dxfId="2" priority="16">
      <formula>LEN(TRIM(H1))=0</formula>
    </cfRule>
  </conditionalFormatting>
  <conditionalFormatting sqref="I5:I46 I50:I82 I86:I117 I121:I150 I154:I180 I184:I194 I198:I208 I212:I222">
    <cfRule type="expression" dxfId="1" priority="13">
      <formula>H5/G5&gt;=1.5</formula>
    </cfRule>
    <cfRule type="expression" dxfId="0" priority="14">
      <formula>H5/G5&lt;=0.5</formula>
    </cfRule>
  </conditionalFormatting>
  <dataValidations count="1">
    <dataValidation type="list" allowBlank="1" sqref="F212:F221 F198:F207 F86:F116 F154:F179 F184:F193 F5:F45 F50:F81 F121:F149"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E154:E179 E184:E193 E198:E207 E212:E221 E50:E81 E121:E149</xm:sqref>
        </x14:dataValidation>
        <x14:dataValidation type="list" allowBlank="1" xr:uid="{00000000-0002-0000-0000-000002000000}">
          <x14:formula1>
            <xm:f>'Drop-downs'!$A$2:$A$9</xm:f>
          </x14:formula1>
          <xm:sqref>B5:B45 B86:B116 B154:B179 B184:B193 B198:B207 B212:B221 B50:B81 B121:B149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2024-12-17T10:55:04Z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