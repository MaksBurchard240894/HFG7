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4DA09B22-F9CD-4679-91DD-FB79D06A98F8}"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4" i="1"/>
  <c r="G264" i="1"/>
  <c r="I263" i="1"/>
  <c r="I262" i="1"/>
  <c r="I261" i="1"/>
  <c r="I247" i="1"/>
  <c r="I245" i="1"/>
  <c r="I244" i="1"/>
  <c r="I242" i="1"/>
  <c r="I241" i="1"/>
  <c r="I240" i="1"/>
  <c r="I239" i="1"/>
  <c r="H235" i="1"/>
  <c r="G235" i="1"/>
  <c r="B9" i="2"/>
  <c r="B8" i="2"/>
  <c r="B11" i="2"/>
  <c r="B10" i="2"/>
  <c r="K11" i="2"/>
  <c r="I264"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6"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<sst xmlns="http://schemas.openxmlformats.org/spreadsheetml/2006/main" count="1449" uniqueCount="422">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</sst>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printerSettings" Target="../printerSettings/printerSettings1.bin"/><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6"/>
  <sheetViews>
    <sheetView tabSelected="1" workbookViewId="0">
      <pane ySplit="1" topLeftCell="A235" activePane="bottomLeft" state="frozen"/>
      <selection pane="bottomLeft" activeCell="J261" sqref="J261"/>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53" t="s">
        <v>415</v>
      </c>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53" t="s">
        <v>415</v>
      </c>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53" t="s">
        <v>415</v>
      </c>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53" t="s">
        <v>415</v>
      </c>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53" t="s">
        <v>415</v>
      </c>
      <c r="K41" s="44"/>
    </row>
    <row r="42" spans="1:11" ht="12.5" x14ac:dyDescent="0.25">
      <c r="A42" s="37">
        <v>45618</v>
      </c>
      <c r="B42" s="38" t="s">
        <v>54</v>
      </c>
      <c r="C42" s="39" t="s">
        <v>197</v>
      </c>
      <c r="D42" s="38" t="s">
        <v>102</v>
      </c>
      <c r="E42" s="40" t="s">
        <v>63</v>
      </c>
      <c r="F42" s="40" t="s">
        <v>87</v>
      </c>
      <c r="G42" s="41">
        <v>0.5</v>
      </c>
      <c r="H42" s="41">
        <v>0.5</v>
      </c>
      <c r="I42" s="41">
        <f t="shared" si="0"/>
        <v>0</v>
      </c>
      <c r="J42" s="53" t="s">
        <v>417</v>
      </c>
      <c r="K42" s="44"/>
    </row>
    <row r="43" spans="1:11" ht="12.5" x14ac:dyDescent="0.25">
      <c r="A43" s="37">
        <v>45618</v>
      </c>
      <c r="B43" s="38" t="s">
        <v>54</v>
      </c>
      <c r="C43" s="39" t="s">
        <v>197</v>
      </c>
      <c r="D43" s="38" t="s">
        <v>140</v>
      </c>
      <c r="E43" s="40" t="s">
        <v>63</v>
      </c>
      <c r="F43" s="40" t="s">
        <v>87</v>
      </c>
      <c r="G43" s="41">
        <v>0.5</v>
      </c>
      <c r="H43" s="41">
        <v>0.15</v>
      </c>
      <c r="I43" s="41">
        <f t="shared" si="0"/>
        <v>-0.35</v>
      </c>
      <c r="J43" s="53" t="s">
        <v>417</v>
      </c>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53" t="s">
        <v>415</v>
      </c>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53" t="s">
        <v>417</v>
      </c>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53" t="s">
        <v>417</v>
      </c>
      <c r="K74" s="43"/>
    </row>
    <row r="75" spans="1:11" ht="12.5" x14ac:dyDescent="0.25">
      <c r="A75" s="47">
        <v>45625</v>
      </c>
      <c r="B75" s="38" t="s">
        <v>54</v>
      </c>
      <c r="C75" s="39" t="s">
        <v>197</v>
      </c>
      <c r="D75" s="38" t="s">
        <v>147</v>
      </c>
      <c r="E75" s="40" t="s">
        <v>61</v>
      </c>
      <c r="F75" s="40" t="s">
        <v>87</v>
      </c>
      <c r="G75" s="41">
        <v>0.5</v>
      </c>
      <c r="H75" s="41">
        <v>0.5</v>
      </c>
      <c r="I75" s="41">
        <f t="shared" si="1"/>
        <v>0</v>
      </c>
      <c r="J75" s="53" t="s">
        <v>417</v>
      </c>
      <c r="K75" s="43" t="s">
        <v>419</v>
      </c>
    </row>
    <row r="76" spans="1:11" ht="12.5" x14ac:dyDescent="0.25">
      <c r="A76" s="47">
        <v>45625</v>
      </c>
      <c r="B76" s="38" t="s">
        <v>54</v>
      </c>
      <c r="C76" s="39" t="s">
        <v>197</v>
      </c>
      <c r="D76" s="38" t="s">
        <v>148</v>
      </c>
      <c r="E76" s="40" t="s">
        <v>61</v>
      </c>
      <c r="F76" s="40" t="s">
        <v>87</v>
      </c>
      <c r="G76" s="41">
        <v>0.5</v>
      </c>
      <c r="H76" s="41">
        <v>0.5</v>
      </c>
      <c r="I76" s="41">
        <f t="shared" si="1"/>
        <v>0</v>
      </c>
      <c r="J76" s="53" t="s">
        <v>417</v>
      </c>
      <c r="K76" s="43"/>
    </row>
    <row r="77" spans="1:11" ht="12.5" x14ac:dyDescent="0.25">
      <c r="A77" s="47">
        <v>45625</v>
      </c>
      <c r="B77" s="38" t="s">
        <v>54</v>
      </c>
      <c r="C77" s="39" t="s">
        <v>79</v>
      </c>
      <c r="D77" s="38" t="s">
        <v>157</v>
      </c>
      <c r="E77" s="40" t="s">
        <v>63</v>
      </c>
      <c r="F77" s="40" t="s">
        <v>86</v>
      </c>
      <c r="G77" s="41">
        <v>0.25</v>
      </c>
      <c r="H77" s="41">
        <v>0.25</v>
      </c>
      <c r="I77" s="41">
        <f t="shared" si="1"/>
        <v>0</v>
      </c>
      <c r="J77" s="53" t="s">
        <v>415</v>
      </c>
      <c r="K77" s="43"/>
    </row>
    <row r="78" spans="1:11" ht="12.5" x14ac:dyDescent="0.25">
      <c r="A78" s="47">
        <v>45625</v>
      </c>
      <c r="B78" s="38" t="s">
        <v>54</v>
      </c>
      <c r="C78" s="39" t="s">
        <v>197</v>
      </c>
      <c r="D78" s="38" t="s">
        <v>141</v>
      </c>
      <c r="E78" s="40" t="s">
        <v>63</v>
      </c>
      <c r="F78" s="40" t="s">
        <v>87</v>
      </c>
      <c r="G78" s="41">
        <v>0.25</v>
      </c>
      <c r="H78" s="41">
        <v>0.15</v>
      </c>
      <c r="I78" s="41">
        <f t="shared" si="1"/>
        <v>-0.1</v>
      </c>
      <c r="J78" s="53" t="s">
        <v>417</v>
      </c>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53" t="s">
        <v>415</v>
      </c>
      <c r="K83" s="43"/>
    </row>
    <row r="84" spans="1:11" ht="12.5" x14ac:dyDescent="0.25">
      <c r="A84" s="37">
        <v>45628</v>
      </c>
      <c r="B84" s="38" t="s">
        <v>54</v>
      </c>
      <c r="C84" s="39" t="s">
        <v>197</v>
      </c>
      <c r="D84" s="38" t="s">
        <v>149</v>
      </c>
      <c r="E84" s="40" t="s">
        <v>61</v>
      </c>
      <c r="F84" s="40" t="s">
        <v>87</v>
      </c>
      <c r="G84" s="41">
        <v>0.5</v>
      </c>
      <c r="H84" s="41">
        <v>0.5</v>
      </c>
      <c r="I84" s="41">
        <f t="shared" si="2"/>
        <v>0</v>
      </c>
      <c r="J84" s="53" t="s">
        <v>417</v>
      </c>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53" t="s">
        <v>415</v>
      </c>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53" t="s">
        <v>415</v>
      </c>
      <c r="K109" s="43"/>
    </row>
    <row r="110" spans="1:11" ht="12.5" x14ac:dyDescent="0.25">
      <c r="A110" s="37">
        <v>45632</v>
      </c>
      <c r="B110" s="38" t="s">
        <v>54</v>
      </c>
      <c r="C110" s="39" t="s">
        <v>197</v>
      </c>
      <c r="D110" s="38" t="s">
        <v>149</v>
      </c>
      <c r="E110" s="40" t="s">
        <v>61</v>
      </c>
      <c r="F110" s="40" t="s">
        <v>87</v>
      </c>
      <c r="G110" s="41">
        <v>0.5</v>
      </c>
      <c r="H110" s="41">
        <v>0.5</v>
      </c>
      <c r="I110" s="41">
        <f t="shared" si="2"/>
        <v>0</v>
      </c>
      <c r="J110" s="53" t="s">
        <v>417</v>
      </c>
      <c r="K110" s="43"/>
    </row>
    <row r="111" spans="1:11" ht="12.5" x14ac:dyDescent="0.25">
      <c r="A111" s="37">
        <v>45632</v>
      </c>
      <c r="B111" s="38" t="s">
        <v>54</v>
      </c>
      <c r="C111" s="39" t="s">
        <v>197</v>
      </c>
      <c r="D111" s="38" t="s">
        <v>175</v>
      </c>
      <c r="E111" s="40" t="s">
        <v>63</v>
      </c>
      <c r="F111" s="40" t="s">
        <v>86</v>
      </c>
      <c r="G111" s="41">
        <v>0.5</v>
      </c>
      <c r="H111" s="41">
        <v>0.25</v>
      </c>
      <c r="I111" s="41">
        <f t="shared" si="2"/>
        <v>-0.25</v>
      </c>
      <c r="J111" s="53" t="s">
        <v>417</v>
      </c>
      <c r="K111" s="43"/>
    </row>
    <row r="112" spans="1:11" ht="12.5" x14ac:dyDescent="0.25">
      <c r="A112" s="37">
        <v>45632</v>
      </c>
      <c r="B112" s="38" t="s">
        <v>54</v>
      </c>
      <c r="C112" s="39" t="s">
        <v>79</v>
      </c>
      <c r="D112" s="38" t="s">
        <v>174</v>
      </c>
      <c r="E112" s="40" t="s">
        <v>63</v>
      </c>
      <c r="F112" s="40" t="s">
        <v>86</v>
      </c>
      <c r="G112" s="41">
        <v>0.5</v>
      </c>
      <c r="H112" s="41">
        <v>0.25</v>
      </c>
      <c r="I112" s="41">
        <f t="shared" si="2"/>
        <v>-0.25</v>
      </c>
      <c r="J112" s="53" t="s">
        <v>415</v>
      </c>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53" t="s">
        <v>417</v>
      </c>
      <c r="K117" s="43"/>
    </row>
    <row r="118" spans="1:11" ht="12.5" x14ac:dyDescent="0.25">
      <c r="A118" s="37">
        <v>45635</v>
      </c>
      <c r="B118" s="38" t="s">
        <v>54</v>
      </c>
      <c r="C118" s="39" t="s">
        <v>79</v>
      </c>
      <c r="D118" s="38" t="s">
        <v>245</v>
      </c>
      <c r="E118" s="40" t="s">
        <v>61</v>
      </c>
      <c r="F118" s="40" t="s">
        <v>86</v>
      </c>
      <c r="G118" s="41">
        <v>0.25</v>
      </c>
      <c r="H118" s="41">
        <v>0.25</v>
      </c>
      <c r="I118" s="41">
        <f t="shared" si="3"/>
        <v>0</v>
      </c>
      <c r="J118" s="53" t="s">
        <v>415</v>
      </c>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53" t="s">
        <v>415</v>
      </c>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53" t="s">
        <v>417</v>
      </c>
      <c r="K143" s="43"/>
    </row>
    <row r="144" spans="1:11" ht="12.5" x14ac:dyDescent="0.25">
      <c r="A144" s="37">
        <v>45643</v>
      </c>
      <c r="B144" s="38" t="s">
        <v>54</v>
      </c>
      <c r="C144" s="39" t="s">
        <v>197</v>
      </c>
      <c r="D144" s="38" t="s">
        <v>326</v>
      </c>
      <c r="E144" s="40" t="s">
        <v>63</v>
      </c>
      <c r="F144" s="40" t="s">
        <v>87</v>
      </c>
      <c r="G144" s="41">
        <v>0.5</v>
      </c>
      <c r="H144" s="41">
        <v>0.25</v>
      </c>
      <c r="I144" s="41">
        <f t="shared" si="4"/>
        <v>-0.25</v>
      </c>
      <c r="J144" s="53" t="s">
        <v>417</v>
      </c>
      <c r="K144" s="43"/>
    </row>
    <row r="145" spans="1:11" ht="12.5" x14ac:dyDescent="0.25">
      <c r="A145" s="37">
        <v>45643</v>
      </c>
      <c r="B145" s="38" t="s">
        <v>54</v>
      </c>
      <c r="C145" s="39" t="s">
        <v>79</v>
      </c>
      <c r="D145" s="38" t="s">
        <v>327</v>
      </c>
      <c r="E145" s="40" t="s">
        <v>63</v>
      </c>
      <c r="F145" s="40" t="s">
        <v>86</v>
      </c>
      <c r="G145" s="41">
        <v>0.5</v>
      </c>
      <c r="H145" s="41">
        <v>0.25</v>
      </c>
      <c r="I145" s="41">
        <f t="shared" si="4"/>
        <v>-0.25</v>
      </c>
      <c r="J145" s="53" t="s">
        <v>415</v>
      </c>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53" t="s">
        <v>415</v>
      </c>
      <c r="K150" s="43"/>
    </row>
    <row r="151" spans="1:11" ht="12.5" x14ac:dyDescent="0.25">
      <c r="A151" s="37">
        <v>45642</v>
      </c>
      <c r="B151" s="38" t="s">
        <v>54</v>
      </c>
      <c r="C151" s="39" t="s">
        <v>197</v>
      </c>
      <c r="D151" s="38" t="s">
        <v>202</v>
      </c>
      <c r="E151" s="40" t="s">
        <v>61</v>
      </c>
      <c r="F151" s="40" t="s">
        <v>87</v>
      </c>
      <c r="G151" s="41">
        <v>0.25</v>
      </c>
      <c r="H151" s="41">
        <v>0.25</v>
      </c>
      <c r="I151" s="41">
        <f t="shared" si="5"/>
        <v>0</v>
      </c>
      <c r="J151" s="53" t="s">
        <v>417</v>
      </c>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53" t="s">
        <v>415</v>
      </c>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53" t="s">
        <v>415</v>
      </c>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53" t="s">
        <v>415</v>
      </c>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53" t="s">
        <v>415</v>
      </c>
      <c r="K185" s="43"/>
    </row>
    <row r="186" spans="1:11" ht="12.5" x14ac:dyDescent="0.25">
      <c r="A186" s="37">
        <v>45646</v>
      </c>
      <c r="B186" s="38" t="s">
        <v>54</v>
      </c>
      <c r="C186" s="39" t="s">
        <v>197</v>
      </c>
      <c r="D186" s="38" t="s">
        <v>281</v>
      </c>
      <c r="E186" s="40" t="s">
        <v>63</v>
      </c>
      <c r="F186" s="40" t="s">
        <v>87</v>
      </c>
      <c r="G186" s="41">
        <v>0.25</v>
      </c>
      <c r="H186" s="41">
        <v>0.25</v>
      </c>
      <c r="I186" s="41">
        <f t="shared" si="5"/>
        <v>0</v>
      </c>
      <c r="J186" s="53" t="s">
        <v>417</v>
      </c>
      <c r="K186" s="43"/>
    </row>
    <row r="187" spans="1:11" ht="12.5" x14ac:dyDescent="0.25">
      <c r="A187" s="37">
        <v>45646</v>
      </c>
      <c r="B187" s="38" t="s">
        <v>54</v>
      </c>
      <c r="C187" s="39" t="s">
        <v>79</v>
      </c>
      <c r="D187" s="38" t="s">
        <v>283</v>
      </c>
      <c r="E187" s="40" t="s">
        <v>63</v>
      </c>
      <c r="F187" s="40" t="s">
        <v>86</v>
      </c>
      <c r="G187" s="41">
        <v>0.25</v>
      </c>
      <c r="H187" s="41">
        <v>0.25</v>
      </c>
      <c r="I187" s="41">
        <f t="shared" si="5"/>
        <v>0</v>
      </c>
      <c r="J187" s="53" t="s">
        <v>415</v>
      </c>
      <c r="K187" s="43"/>
    </row>
    <row r="188" spans="1:11" ht="12.5" x14ac:dyDescent="0.25">
      <c r="A188" s="37">
        <v>45646</v>
      </c>
      <c r="B188" s="38" t="s">
        <v>54</v>
      </c>
      <c r="C188" s="39" t="s">
        <v>197</v>
      </c>
      <c r="D188" s="38" t="s">
        <v>282</v>
      </c>
      <c r="E188" s="40" t="s">
        <v>63</v>
      </c>
      <c r="F188" s="40" t="s">
        <v>87</v>
      </c>
      <c r="G188" s="41">
        <v>0.25</v>
      </c>
      <c r="H188" s="41">
        <v>0.25</v>
      </c>
      <c r="I188" s="41">
        <f t="shared" si="5"/>
        <v>0</v>
      </c>
      <c r="J188" s="53" t="s">
        <v>417</v>
      </c>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53" t="s">
        <v>415</v>
      </c>
      <c r="K193" s="43"/>
    </row>
    <row r="194" spans="1:11" ht="12.5" x14ac:dyDescent="0.25">
      <c r="A194" s="37">
        <v>45663</v>
      </c>
      <c r="B194" s="38" t="s">
        <v>54</v>
      </c>
      <c r="C194" s="39" t="s">
        <v>197</v>
      </c>
      <c r="D194" s="38" t="s">
        <v>297</v>
      </c>
      <c r="E194" s="40" t="s">
        <v>61</v>
      </c>
      <c r="F194" s="40" t="s">
        <v>87</v>
      </c>
      <c r="G194" s="41">
        <v>0.25</v>
      </c>
      <c r="H194" s="41">
        <v>0.25</v>
      </c>
      <c r="I194" s="41">
        <f t="shared" si="6"/>
        <v>0</v>
      </c>
      <c r="J194" s="53" t="s">
        <v>417</v>
      </c>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53" t="s">
        <v>415</v>
      </c>
      <c r="K209" s="43"/>
    </row>
    <row r="210" spans="1:11" ht="12.5" x14ac:dyDescent="0.25">
      <c r="A210" s="37">
        <v>45676</v>
      </c>
      <c r="B210" s="38" t="s">
        <v>54</v>
      </c>
      <c r="C210" s="39" t="s">
        <v>197</v>
      </c>
      <c r="D210" s="38" t="s">
        <v>329</v>
      </c>
      <c r="E210" s="40" t="s">
        <v>63</v>
      </c>
      <c r="F210" s="40" t="s">
        <v>87</v>
      </c>
      <c r="G210" s="41">
        <v>0.25</v>
      </c>
      <c r="H210" s="41">
        <v>0.25</v>
      </c>
      <c r="I210" s="41">
        <f t="shared" si="6"/>
        <v>0</v>
      </c>
      <c r="J210" s="53" t="s">
        <v>417</v>
      </c>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53" t="s">
        <v>415</v>
      </c>
      <c r="K215" s="43"/>
    </row>
    <row r="216" spans="1:11" ht="12.5" x14ac:dyDescent="0.25">
      <c r="A216" s="37">
        <v>45670</v>
      </c>
      <c r="B216" s="38" t="s">
        <v>54</v>
      </c>
      <c r="C216" s="39" t="s">
        <v>197</v>
      </c>
      <c r="D216" s="38" t="s">
        <v>296</v>
      </c>
      <c r="E216" s="40" t="s">
        <v>61</v>
      </c>
      <c r="F216" s="40" t="s">
        <v>87</v>
      </c>
      <c r="G216" s="41">
        <v>0.25</v>
      </c>
      <c r="H216" s="41">
        <v>0.25</v>
      </c>
      <c r="I216" s="41">
        <f t="shared" si="7"/>
        <v>0</v>
      </c>
      <c r="J216" s="53" t="s">
        <v>417</v>
      </c>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53" t="s">
        <v>415</v>
      </c>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53" t="s">
        <v>415</v>
      </c>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53" t="s">
        <v>417</v>
      </c>
      <c r="K232" s="43"/>
    </row>
    <row r="233" spans="1:11" ht="12.5" x14ac:dyDescent="0.25">
      <c r="A233" s="37">
        <v>45676</v>
      </c>
      <c r="B233" s="38" t="s">
        <v>54</v>
      </c>
      <c r="C233" s="39" t="s">
        <v>197</v>
      </c>
      <c r="D233" s="38" t="s">
        <v>334</v>
      </c>
      <c r="E233" s="40" t="s">
        <v>63</v>
      </c>
      <c r="F233" s="40" t="s">
        <v>87</v>
      </c>
      <c r="G233" s="41">
        <v>0.25</v>
      </c>
      <c r="H233" s="41">
        <v>0.25</v>
      </c>
      <c r="I233" s="41">
        <f t="shared" si="7"/>
        <v>0</v>
      </c>
      <c r="J233" s="53" t="s">
        <v>417</v>
      </c>
      <c r="K233" s="43"/>
    </row>
    <row r="234" spans="1:11" ht="12.5" x14ac:dyDescent="0.25">
      <c r="A234" s="37">
        <v>45676</v>
      </c>
      <c r="B234" s="38" t="s">
        <v>54</v>
      </c>
      <c r="C234" s="39" t="s">
        <v>79</v>
      </c>
      <c r="D234" s="38" t="s">
        <v>335</v>
      </c>
      <c r="E234" s="40" t="s">
        <v>63</v>
      </c>
      <c r="F234" s="40" t="s">
        <v>86</v>
      </c>
      <c r="G234" s="41">
        <v>0.25</v>
      </c>
      <c r="H234" s="41">
        <v>0.1</v>
      </c>
      <c r="I234" s="41">
        <f t="shared" si="7"/>
        <v>-0.15</v>
      </c>
      <c r="J234" s="53" t="s">
        <v>415</v>
      </c>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4"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53" t="s">
        <v>415</v>
      </c>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53" t="s">
        <v>417</v>
      </c>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53" t="s">
        <v>415</v>
      </c>
      <c r="K255" s="43"/>
    </row>
    <row r="256" spans="1:11" ht="12.5" x14ac:dyDescent="0.25">
      <c r="A256" s="37">
        <v>45680</v>
      </c>
      <c r="B256" s="38" t="s">
        <v>54</v>
      </c>
      <c r="C256" s="39" t="s">
        <v>197</v>
      </c>
      <c r="D256" s="38" t="s">
        <v>412</v>
      </c>
      <c r="E256" s="40" t="s">
        <v>63</v>
      </c>
      <c r="F256" s="40" t="s">
        <v>87</v>
      </c>
      <c r="G256" s="41">
        <v>1</v>
      </c>
      <c r="H256" s="41">
        <v>1</v>
      </c>
      <c r="I256" s="41">
        <f t="shared" si="8"/>
        <v>0</v>
      </c>
      <c r="J256" s="53" t="s">
        <v>417</v>
      </c>
      <c r="K256" s="43"/>
    </row>
    <row r="257" spans="1:11" ht="12.5" x14ac:dyDescent="0.25">
      <c r="A257" s="37">
        <v>45680</v>
      </c>
      <c r="B257" s="38" t="s">
        <v>54</v>
      </c>
      <c r="C257" s="39" t="s">
        <v>79</v>
      </c>
      <c r="D257" s="38" t="s">
        <v>416</v>
      </c>
      <c r="E257" s="40" t="s">
        <v>63</v>
      </c>
      <c r="F257" s="40" t="s">
        <v>86</v>
      </c>
      <c r="G257" s="41">
        <v>0.15</v>
      </c>
      <c r="H257" s="41">
        <v>0.15</v>
      </c>
      <c r="I257" s="41">
        <f t="shared" si="8"/>
        <v>0</v>
      </c>
      <c r="J257" s="45" t="s">
        <v>418</v>
      </c>
      <c r="K257" s="43"/>
    </row>
    <row r="258" spans="1:11" ht="12.5" x14ac:dyDescent="0.25">
      <c r="A258" s="37">
        <v>45680</v>
      </c>
      <c r="B258" s="38" t="s">
        <v>54</v>
      </c>
      <c r="C258" s="39" t="s">
        <v>197</v>
      </c>
      <c r="D258" s="38" t="s">
        <v>413</v>
      </c>
      <c r="E258" s="40" t="s">
        <v>63</v>
      </c>
      <c r="F258" s="40" t="s">
        <v>87</v>
      </c>
      <c r="G258" s="41">
        <v>1</v>
      </c>
      <c r="H258" s="41">
        <v>1.5</v>
      </c>
      <c r="I258" s="41">
        <f t="shared" si="8"/>
        <v>0.5</v>
      </c>
      <c r="J258" s="45"/>
      <c r="K258" s="43" t="s">
        <v>420</v>
      </c>
    </row>
    <row r="259" spans="1:11" ht="12.5" x14ac:dyDescent="0.25">
      <c r="A259" s="37">
        <v>45680</v>
      </c>
      <c r="B259" s="38" t="s">
        <v>54</v>
      </c>
      <c r="C259" s="39" t="s">
        <v>197</v>
      </c>
      <c r="D259" s="38" t="s">
        <v>414</v>
      </c>
      <c r="E259" s="40" t="s">
        <v>63</v>
      </c>
      <c r="F259" s="40" t="s">
        <v>87</v>
      </c>
      <c r="G259" s="41">
        <v>1</v>
      </c>
      <c r="H259" s="41">
        <v>0.25</v>
      </c>
      <c r="I259" s="41">
        <f t="shared" si="8"/>
        <v>-0.75</v>
      </c>
      <c r="J259" s="45"/>
      <c r="K259" s="43" t="s">
        <v>421</v>
      </c>
    </row>
    <row r="260" spans="1:11" ht="12.5" x14ac:dyDescent="0.25">
      <c r="A260" s="37">
        <v>45680</v>
      </c>
      <c r="B260" s="38" t="s">
        <v>54</v>
      </c>
      <c r="C260" s="39" t="s">
        <v>360</v>
      </c>
      <c r="D260" s="38" t="s">
        <v>359</v>
      </c>
      <c r="E260" s="40" t="s">
        <v>63</v>
      </c>
      <c r="F260" s="40" t="s">
        <v>87</v>
      </c>
      <c r="G260" s="41">
        <v>0.5</v>
      </c>
      <c r="H260" s="41">
        <v>0.5</v>
      </c>
      <c r="I260" s="41">
        <f t="shared" si="8"/>
        <v>0</v>
      </c>
      <c r="J260" s="45"/>
      <c r="K260" s="43"/>
    </row>
    <row r="261" spans="1:11" ht="12.5" x14ac:dyDescent="0.25">
      <c r="A261" s="37">
        <v>45680</v>
      </c>
      <c r="B261" s="38" t="s">
        <v>54</v>
      </c>
      <c r="C261" s="39" t="s">
        <v>345</v>
      </c>
      <c r="D261" s="38" t="s">
        <v>354</v>
      </c>
      <c r="E261" s="40" t="s">
        <v>43</v>
      </c>
      <c r="F261" s="40" t="s">
        <v>348</v>
      </c>
      <c r="G261" s="41">
        <v>2</v>
      </c>
      <c r="H261" s="41">
        <v>2</v>
      </c>
      <c r="I261" s="41">
        <f t="shared" si="8"/>
        <v>0</v>
      </c>
      <c r="J261" s="45"/>
      <c r="K261" s="43"/>
    </row>
    <row r="262" spans="1:11" ht="12.5" x14ac:dyDescent="0.25">
      <c r="A262" s="37"/>
      <c r="B262" s="38"/>
      <c r="C262" s="39" t="s">
        <v>17</v>
      </c>
      <c r="D262" s="38"/>
      <c r="E262" s="40"/>
      <c r="F262" s="40"/>
      <c r="G262" s="41"/>
      <c r="H262" s="41"/>
      <c r="I262" s="41">
        <f t="shared" si="8"/>
        <v>0</v>
      </c>
      <c r="J262" s="45"/>
      <c r="K262" s="43"/>
    </row>
    <row r="263" spans="1:11" ht="12.5" x14ac:dyDescent="0.25">
      <c r="A263" s="37"/>
      <c r="B263" s="38"/>
      <c r="C263" s="39" t="s">
        <v>17</v>
      </c>
      <c r="D263" s="38"/>
      <c r="E263" s="40"/>
      <c r="F263" s="40"/>
      <c r="G263" s="41"/>
      <c r="H263" s="41"/>
      <c r="I263" s="41">
        <f t="shared" si="8"/>
        <v>0</v>
      </c>
      <c r="J263" s="45"/>
      <c r="K263" s="43"/>
    </row>
    <row r="264" spans="1:11" ht="12.5" x14ac:dyDescent="0.25">
      <c r="A264" s="48"/>
      <c r="B264" s="49"/>
      <c r="C264" s="49"/>
      <c r="D264" s="49"/>
      <c r="E264" s="49" t="s">
        <v>18</v>
      </c>
      <c r="F264" s="49"/>
      <c r="G264" s="50">
        <f t="shared" ref="G264:H264" si="9">SUM(G239:G263)</f>
        <v>28.4</v>
      </c>
      <c r="H264" s="50">
        <f t="shared" si="9"/>
        <v>28.5</v>
      </c>
      <c r="I264" s="50">
        <f t="shared" si="8"/>
        <v>0.10000000000000142</v>
      </c>
      <c r="J264" s="51"/>
      <c r="K264" s="52"/>
    </row>
    <row r="265" spans="1:11" ht="15" customHeight="1" x14ac:dyDescent="0.25">
      <c r="E265" s="40"/>
    </row>
    <row r="266" spans="1:11" ht="15" customHeight="1" x14ac:dyDescent="0.3">
      <c r="G266" s="38" t="s">
        <v>18</v>
      </c>
      <c r="H266" s="54">
        <f>H44+H79+H113+H146+H189+H211+H235+H264</f>
        <v>256.08999999999997</v>
      </c>
    </row>
  </sheetData>
  <autoFilter ref="A1:K44" xr:uid="{00000000-0009-0000-0000-000000000000}"/>
  <customSheetViews>
    <customSheetView guid="{8BAC9A6B-5D32-4E8D-967D-E17D357516F8}" filter="1" showAutoFilter="1">
      <pageMargins left="0" right="0" top="0" bottom="0" header="0" footer="0"/>
      <autoFilter ref="A1:K15" xr:uid="{1C795F82-7D28-4A39-8671-010E3E67BAD9}">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3">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4">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4">
    <cfRule type="cellIs" dxfId="3" priority="15" operator="greaterThan">
      <formula>4</formula>
    </cfRule>
  </conditionalFormatting>
  <conditionalFormatting sqref="H1:H264">
    <cfRule type="containsBlanks" dxfId="2" priority="16">
      <formula>LEN(TRIM(H1))=0</formula>
    </cfRule>
  </conditionalFormatting>
  <conditionalFormatting sqref="I5:I44 I48:I79 I83:I113 I117:I146 I150:I189 I193:I211 I215:I235 I239:I264">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3"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s>
  <pageMargins left="0.7" right="0.7" top="0.75" bottom="0.75" header="0.3" footer="0.3"/>
  <pageSetup paperSize="9" scale="52" fitToHeight="0" orientation="landscape" horizontalDpi="1200" verticalDpi="1200" r:id="rId15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E239:E263</xm:sqref>
        </x14:dataValidation>
        <x14:dataValidation type="list" allowBlank="1" xr:uid="{00000000-0002-0000-0000-000002000000}">
          <x14:formula1>
            <xm:f>'Drop-downs'!$A$2:$A$9</xm:f>
          </x14:formula1>
          <xm:sqref>B215:B234 B5:B43 B48:B78 B83:B112 B117:B145 B150:B188 B193:B210 B239:B263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