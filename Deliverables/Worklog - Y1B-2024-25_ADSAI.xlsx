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DB8D10EE-9CD4-4E21-A9DB-AEDEB4349A9D}"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'Worklog_Tasks&amp;Times'!$A$1:$K$228</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3" i="1" l="1"/>
  <c r="I212" i="1"/>
  <c r="I211" i="1"/>
  <c r="I210" i="1"/>
  <c r="I209" i="1"/>
  <c r="I208" i="1"/>
  <c r="I201" i="1"/>
  <c r="I185" i="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43" i="1"/>
  <c r="G243" i="1"/>
  <c r="I242" i="1"/>
  <c r="I241" i="1"/>
  <c r="I240" i="1"/>
  <c r="I239" i="1"/>
  <c r="I238" i="1"/>
  <c r="I237" i="1"/>
  <c r="I236" i="1"/>
  <c r="I235" i="1"/>
  <c r="I234" i="1"/>
  <c r="I233" i="1"/>
  <c r="H229" i="1"/>
  <c r="G229" i="1"/>
  <c r="B9" i="2"/>
  <c r="B8" i="2"/>
  <c r="B11" i="2"/>
  <c r="B10" i="2"/>
  <c r="K11" i="2"/>
  <c r="I243" i="1" l="1"/>
  <c r="K8" i="2"/>
  <c r="K10" i="2"/>
  <c r="E12" i="2"/>
  <c r="D12" i="2"/>
  <c r="I229" i="1"/>
  <c r="J12" i="2"/>
  <c r="I12" i="2"/>
  <c r="H12" i="2"/>
  <c r="G12" i="2"/>
  <c r="F12" i="2"/>
  <c r="K9" i="2"/>
  <c r="K7" i="2"/>
  <c r="B7" i="2"/>
  <c r="K6" i="2"/>
  <c r="B6" i="2"/>
  <c r="K5" i="2"/>
  <c r="B5" i="2"/>
  <c r="C12" i="2"/>
  <c r="B4" i="2"/>
  <c r="K3" i="2"/>
  <c r="B3" i="2"/>
  <c r="I228" i="1"/>
  <c r="I227" i="1"/>
  <c r="I226" i="1"/>
  <c r="I225" i="1"/>
  <c r="I224" i="1"/>
  <c r="I223" i="1"/>
  <c r="I222" i="1"/>
  <c r="I221" i="1"/>
  <c r="I220" i="1"/>
  <c r="I219" i="1"/>
  <c r="H215" i="1"/>
  <c r="G215" i="1"/>
  <c r="I214" i="1"/>
  <c r="I207" i="1"/>
  <c r="I206" i="1"/>
  <c r="I205" i="1"/>
  <c r="I204" i="1"/>
  <c r="I203" i="1"/>
  <c r="I202"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1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<sst xmlns="http://schemas.openxmlformats.org/spreadsheetml/2006/main" count="1139" uniqueCount="336">
  <si>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</si>
  <si>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</si>
  <si>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</si>
  <si>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</si>
  <si>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</si>
  <si>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</si>
  <si>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</si>
  <si>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</si>
  <si>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</si>
  <si>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</si>
  <si>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</si>
  <si>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</si>
  <si>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</si>
  <si>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</si>
  <si>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</si>
  <si>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</si>
  <si>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</si>
  <si>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</si>
  <si>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</si>
  <si>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</si>
  <si>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</si>
  <si>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</si>
  <si>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</si>
  <si>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</si>
  <si>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</si>
  <si>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</si>
  <si>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</si>
  <si>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</si>
  <si>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</si>
  <si>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</si>
  <si>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</si>
  <si>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</si>
  <si>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</si>
  <si>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</si>
  <si>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</si>
  <si>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</si>
  <si>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</si>
  <si>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</si>
  <si>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</si>
  <si>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</si>
  <si>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</si>
  <si>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</si>
  <si>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</si>
  <si>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</si>
  <si>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</si>
  <si>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</si>
  <si>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</si>
  <si>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</si>
  <si>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</si>
  <si>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</si>
  <si>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</si>
  <si>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</si>
  <si>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</si>
  <si>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</si>
  <si>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</si>
  <si>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</si>
  <si>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</si>
  <si>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</si>
  <si>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</si>
  <si>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</si>
  <si>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</si>
  <si>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</si>
  <si>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</si>
  <si>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</si>
  <si>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</si>
  <si>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</si>
  <si>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</si>
  <si>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</si>
  <si>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</si>
  <si>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</si>
  <si>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</si>
  <si>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</si>
  <si>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</si>
  <si>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</si>
  <si>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</si>
  <si>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</si>
  <si>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</si>
  <si>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</si>
  <si>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</si>
  <si>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</si>
  <si>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</si>
  <si>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</si>
  <si>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</si>
  <si>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</si>
  <si>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</si>
  <si>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</si>
  <si>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</si>
  <si>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</si>
  <si>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</si>
  <si>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</si>
  <si>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</si>
  <si>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</si>
  <si>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</si>
  <si>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</si>
  <si>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</si>
  <si>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</si>
  <si>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</si>
  <si>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</si>
  <si>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</si>
  <si>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</si>
  <si>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</si>
  <si>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</si>
  <si>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</si>
  <si>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</si>
  <si>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</si>
  <si>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</si>
  <si>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</si>
  <si>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</si>
  <si>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</si>
  <si>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</si>
  <si>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</si>
  <si>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</si>
  <si>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</si>
  <si>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</si>
  <si>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</si>
  <si>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</si>
  <si>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</si>
  <si>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</si>
  <si>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</si>
  <si>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</si>
  <si>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</si>
  <si>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</si>
  <si>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</si>
  <si>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</si>
  <si>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</si>
  <si>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</si>
  <si>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</si>
  <si>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</si>
  <si>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</si>
  <si>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</si>
  <si>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</si>
  <si>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</si>
  <si>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</si>
  <si>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</si>
  <si>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</si>
  <si>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</si>
  <si>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</si>
  <si>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</si>
  <si>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</si>
  <si>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</si>
  <si>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</si>
  <si>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</si>
  <si>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</si>
  <si>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</si>
  <si>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</si>
  <si>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</si>
  <si>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</si>
  <si>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</si>
  <si>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</si>
  <si>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</si>
  <si>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</si>
  <si>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</si>
  <si>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</si>
  <si>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</si>
  <si>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</si>
  <si>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</si>
  <si>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</si>
  <si>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</si>
  <si>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</si>
  <si>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</si>
  <si>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</si>
  <si>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</si>
  <si>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</si>
  <si>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</si>
  <si>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</si>
  <si>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</si>
  <si>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</si>
  <si>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</si>
  <si>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</si>
  <si>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</si>
  <si>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</si>
  <si>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</si>
  <si>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</si>
  <si>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</si>
  <si>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</si>
  <si>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</si>
  <si>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</si>
  <si>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</si>
  <si>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</si>
  <si>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</si>
  <si>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</si>
  <si>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</si>
  <si>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</si>
  <si>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</si>
  <si>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</si>
  <si>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</si>
  <si>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</si>
  <si>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</si>
  <si>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</si>
  <si>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</si>
  <si>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</si>
  <si>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</si>
  <si>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</si>
  <si>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</si>
  <si>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</si>
  <si>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</si>
  <si>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</si>
  <si>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</si>
  <si>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</si>
  <si>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</si>
  <si>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</si>
  <si>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</si>
  <si>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</si>
  <si>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</si>
  <si>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</si>
  <si>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</si>
  <si>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</si>
  <si>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</si>
  <si>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</si>
  <si>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</si>
  <si>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</si>
  <si>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</si>
  <si>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</si>
  <si>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</si>
  <si>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</si>
  <si>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</si>
  <si>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</si>
  <si>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</si>
  <si>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</si>
  <si>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</si>
  <si>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</si>
  <si>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</si>
  <si>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</si>
  <si>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</si>
  <si>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</si>
  <si>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</si>
  <si>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</si>
  <si>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</si>
  <si>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</si>
  <si>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</si>
  <si>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</si>
  <si>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</si>
  <si>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</si>
  <si>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</si>
  <si>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</si>
  <si>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</si>
  <si>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</si>
  <si>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</si>
  <si>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</si>
  <si>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</si>
  <si>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</si>
  <si>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</si>
  <si>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</si>
  <si>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</si>
  <si>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</si>
  <si>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</si>
  <si>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</si>
  <si>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</si>
  <si>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</si>
  <si>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</si>
  <si>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</si>
  <si>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</si>
  <si>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</si>
  <si>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</si>
  <si>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</si>
  <si>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</si>
  <si>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</si>
  <si>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</si>
  <si>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</si>
  <si>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</si>
  <si>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</si>
  <si>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</si>
  <si>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</si>
  <si>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</si>
  <si>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</si>
  <si>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</si>
  <si>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</si>
  <si>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</si>
  <si>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</si>
  <si>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</si>
  <si>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</si>
  <si>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</si>
  <si>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</si>
  <si>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</si>
  <si>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</si>
  <si>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</si>
  <si>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</si>
  <si>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</si>
  <si>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</si>
  <si>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</si>
  <si>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</si>
  <si>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</si>
  <si>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</si>
  <si>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</si>
  <si>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</si>
  <si>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</si>
  <si>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</si>
  <si>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</si>
  <si>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</si>
  <si>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</si>
  <si>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</si>
  <si>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</si>
  <si>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</si>
  <si>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</si>
  <si>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</si>
  <si>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</si>
  <si>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</si>
  <si>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</si>
  <si>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</si>
  <si>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</si>
  <si>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</si>
  <si>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</si>
  <si>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</si>
  <si>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Had troubles with dependencies % packages</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</si>
  <si>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</si>
  <si>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</si>
  <si>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</si>
  <si>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</si>
  <si>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</si>
  <si>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</si>
  <si>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</si>
  <si>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</si>
  <si>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</si>
  <si>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</si>
  <si>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</si>
  <si>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</si>
  <si>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</si>
  <si>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</si>
  <si>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</si>
  <si>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</si>
  <si>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</si>
  <si>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</si>
  <si>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</si>
  <si>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</si>
  <si>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</si>
  <si>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</si>
  <si>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</si>
  <si>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</si>
  <si>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</si>
  <si>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</si>
  <si>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</si>
  <si>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</si>
  <si>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</si>
  <si>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</si>
  <si>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</si>
  <si>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start at 13:00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</si>
</sst>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43"/>
  <sheetViews>
    <sheetView tabSelected="1" workbookViewId="0">
      <pane ySplit="1" topLeftCell="A199" activePane="bottomLeft" state="frozen"/>
      <selection pane="bottomLeft" activeCell="J211" sqref="J211"/>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0"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54</v>
      </c>
      <c r="C154" s="39" t="s">
        <v>79</v>
      </c>
      <c r="D154" s="38" t="s">
        <v>211</v>
      </c>
      <c r="E154" s="40" t="s">
        <v>61</v>
      </c>
      <c r="F154" s="40" t="s">
        <v>86</v>
      </c>
      <c r="G154" s="41">
        <v>0.25</v>
      </c>
      <c r="H154" s="41">
        <v>0.25</v>
      </c>
      <c r="I154" s="41">
        <f t="shared" ref="I154:I194" si="6">H154-G154</f>
        <v>0</v>
      </c>
      <c r="J154" s="45"/>
      <c r="K154" s="43"/>
    </row>
    <row r="155" spans="1:11" ht="12.5" x14ac:dyDescent="0.25">
      <c r="A155" s="37">
        <v>45642</v>
      </c>
      <c r="B155" s="38" t="s">
        <v>54</v>
      </c>
      <c r="C155" s="39" t="s">
        <v>207</v>
      </c>
      <c r="D155" s="38" t="s">
        <v>212</v>
      </c>
      <c r="E155" s="40" t="s">
        <v>61</v>
      </c>
      <c r="F155" s="40" t="s">
        <v>87</v>
      </c>
      <c r="G155" s="41">
        <v>0.25</v>
      </c>
      <c r="H155" s="41">
        <v>0.25</v>
      </c>
      <c r="I155" s="41">
        <f t="shared" si="6"/>
        <v>0</v>
      </c>
      <c r="J155" s="45"/>
      <c r="K155" s="43"/>
    </row>
    <row r="156" spans="1:11" ht="12.5" x14ac:dyDescent="0.25">
      <c r="A156" s="37">
        <v>45642</v>
      </c>
      <c r="B156" s="38" t="s">
        <v>54</v>
      </c>
      <c r="C156" s="39" t="s">
        <v>224</v>
      </c>
      <c r="D156" s="38" t="s">
        <v>213</v>
      </c>
      <c r="E156" s="40" t="s">
        <v>55</v>
      </c>
      <c r="F156" s="40" t="s">
        <v>88</v>
      </c>
      <c r="G156" s="41">
        <v>1</v>
      </c>
      <c r="H156" s="41">
        <v>1</v>
      </c>
      <c r="I156" s="41">
        <f t="shared" si="6"/>
        <v>0</v>
      </c>
      <c r="J156" s="45"/>
      <c r="K156" s="43"/>
    </row>
    <row r="157" spans="1:11" ht="12.5" x14ac:dyDescent="0.25">
      <c r="A157" s="37">
        <v>45642</v>
      </c>
      <c r="B157" s="38" t="s">
        <v>54</v>
      </c>
      <c r="C157" s="39" t="s">
        <v>278</v>
      </c>
      <c r="D157" s="38" t="s">
        <v>277</v>
      </c>
      <c r="E157" s="40" t="s">
        <v>49</v>
      </c>
      <c r="F157" s="40" t="s">
        <v>88</v>
      </c>
      <c r="G157" s="41">
        <v>0.5</v>
      </c>
      <c r="H157" s="41">
        <v>0.5</v>
      </c>
      <c r="I157" s="41">
        <f t="shared" si="6"/>
        <v>0</v>
      </c>
      <c r="J157" s="45"/>
      <c r="K157" s="43"/>
    </row>
    <row r="158" spans="1:11" ht="12.5" x14ac:dyDescent="0.25">
      <c r="A158" s="37">
        <v>45642</v>
      </c>
      <c r="B158" s="38" t="s">
        <v>54</v>
      </c>
      <c r="C158" s="39" t="s">
        <v>214</v>
      </c>
      <c r="D158" s="38" t="s">
        <v>215</v>
      </c>
      <c r="E158" s="40" t="s">
        <v>66</v>
      </c>
      <c r="F158" s="40" t="s">
        <v>104</v>
      </c>
      <c r="G158" s="41">
        <v>1.5</v>
      </c>
      <c r="H158" s="41">
        <v>1</v>
      </c>
      <c r="I158" s="41">
        <f t="shared" si="6"/>
        <v>-0.5</v>
      </c>
      <c r="J158" s="45"/>
      <c r="K158" s="43"/>
    </row>
    <row r="159" spans="1:11" ht="12.5" x14ac:dyDescent="0.25">
      <c r="A159" s="37">
        <v>45642</v>
      </c>
      <c r="B159" s="38" t="s">
        <v>54</v>
      </c>
      <c r="C159" s="39" t="s">
        <v>214</v>
      </c>
      <c r="D159" s="38" t="s">
        <v>216</v>
      </c>
      <c r="E159" s="40" t="s">
        <v>66</v>
      </c>
      <c r="F159" s="40" t="s">
        <v>104</v>
      </c>
      <c r="G159" s="41">
        <v>2</v>
      </c>
      <c r="H159" s="41">
        <v>1.5</v>
      </c>
      <c r="I159" s="41">
        <f t="shared" si="6"/>
        <v>-0.5</v>
      </c>
      <c r="J159" s="45"/>
      <c r="K159" s="43"/>
    </row>
    <row r="160" spans="1:11" ht="12.5" x14ac:dyDescent="0.25">
      <c r="A160" s="37">
        <v>45642</v>
      </c>
      <c r="B160" s="38" t="s">
        <v>54</v>
      </c>
      <c r="C160" s="39" t="s">
        <v>214</v>
      </c>
      <c r="D160" s="38" t="s">
        <v>217</v>
      </c>
      <c r="E160" s="40" t="s">
        <v>66</v>
      </c>
      <c r="F160" s="40" t="s">
        <v>104</v>
      </c>
      <c r="G160" s="41">
        <v>2</v>
      </c>
      <c r="H160" s="41">
        <v>1.5</v>
      </c>
      <c r="I160" s="41">
        <f t="shared" si="6"/>
        <v>-0.5</v>
      </c>
      <c r="J160" s="45"/>
      <c r="K160" s="43"/>
    </row>
    <row r="161" spans="1:11" ht="12.5" x14ac:dyDescent="0.25">
      <c r="A161" s="37">
        <v>45642</v>
      </c>
      <c r="B161" s="38" t="s">
        <v>54</v>
      </c>
      <c r="C161" s="39" t="s">
        <v>214</v>
      </c>
      <c r="D161" s="38" t="s">
        <v>218</v>
      </c>
      <c r="E161" s="40" t="s">
        <v>66</v>
      </c>
      <c r="F161" s="40" t="s">
        <v>104</v>
      </c>
      <c r="G161" s="41">
        <v>2</v>
      </c>
      <c r="H161" s="41">
        <v>1.5</v>
      </c>
      <c r="I161" s="41">
        <f t="shared" si="6"/>
        <v>-0.5</v>
      </c>
      <c r="J161" s="45"/>
      <c r="K161" s="43"/>
    </row>
    <row r="162" spans="1:11" ht="12.5" x14ac:dyDescent="0.25">
      <c r="A162" s="37">
        <v>45642</v>
      </c>
      <c r="B162" s="38" t="s">
        <v>54</v>
      </c>
      <c r="C162" s="39" t="s">
        <v>220</v>
      </c>
      <c r="D162" s="38" t="s">
        <v>221</v>
      </c>
      <c r="E162" s="40" t="s">
        <v>52</v>
      </c>
      <c r="F162" s="40" t="s">
        <v>104</v>
      </c>
      <c r="G162" s="41">
        <v>1</v>
      </c>
      <c r="H162" s="41">
        <v>1</v>
      </c>
      <c r="I162" s="41">
        <f t="shared" si="6"/>
        <v>0</v>
      </c>
      <c r="J162" s="45"/>
      <c r="K162" s="43"/>
    </row>
    <row r="163" spans="1:11" ht="12.5" x14ac:dyDescent="0.25">
      <c r="A163" s="37">
        <v>45642</v>
      </c>
      <c r="B163" s="38" t="s">
        <v>54</v>
      </c>
      <c r="C163" s="39" t="s">
        <v>220</v>
      </c>
      <c r="D163" s="38" t="s">
        <v>219</v>
      </c>
      <c r="E163" s="40" t="s">
        <v>55</v>
      </c>
      <c r="F163" s="40" t="s">
        <v>104</v>
      </c>
      <c r="G163" s="41">
        <v>0.5</v>
      </c>
      <c r="H163" s="41">
        <v>0.25</v>
      </c>
      <c r="I163" s="41">
        <f t="shared" si="6"/>
        <v>-0.25</v>
      </c>
      <c r="J163" s="45"/>
      <c r="K163" s="43"/>
    </row>
    <row r="164" spans="1:11" ht="12.5" x14ac:dyDescent="0.25">
      <c r="A164" s="37">
        <v>45642</v>
      </c>
      <c r="B164" s="38" t="s">
        <v>54</v>
      </c>
      <c r="C164" s="39" t="s">
        <v>223</v>
      </c>
      <c r="D164" s="38" t="s">
        <v>222</v>
      </c>
      <c r="E164" s="40" t="s">
        <v>55</v>
      </c>
      <c r="F164" s="40" t="s">
        <v>88</v>
      </c>
      <c r="G164" s="41">
        <v>0.16</v>
      </c>
      <c r="H164" s="41">
        <v>0.16</v>
      </c>
      <c r="I164" s="41">
        <f t="shared" si="6"/>
        <v>0</v>
      </c>
      <c r="J164" s="45"/>
      <c r="K164" s="43"/>
    </row>
    <row r="165" spans="1:11" ht="12.5" x14ac:dyDescent="0.25">
      <c r="A165" s="37">
        <v>45642</v>
      </c>
      <c r="B165" s="38" t="s">
        <v>54</v>
      </c>
      <c r="C165" s="39" t="s">
        <v>225</v>
      </c>
      <c r="D165" s="38" t="s">
        <v>229</v>
      </c>
      <c r="E165" s="40" t="s">
        <v>66</v>
      </c>
      <c r="F165" s="40" t="s">
        <v>104</v>
      </c>
      <c r="G165" s="41">
        <v>1.5</v>
      </c>
      <c r="H165" s="41">
        <v>1</v>
      </c>
      <c r="I165" s="41">
        <f t="shared" si="6"/>
        <v>-0.5</v>
      </c>
      <c r="J165" s="45"/>
      <c r="K165" s="43"/>
    </row>
    <row r="166" spans="1:11" ht="12.5" x14ac:dyDescent="0.25">
      <c r="A166" s="37">
        <v>45642</v>
      </c>
      <c r="B166" s="38" t="s">
        <v>54</v>
      </c>
      <c r="C166" s="39" t="s">
        <v>225</v>
      </c>
      <c r="D166" s="38" t="s">
        <v>230</v>
      </c>
      <c r="E166" s="40" t="s">
        <v>66</v>
      </c>
      <c r="F166" s="40" t="s">
        <v>104</v>
      </c>
      <c r="G166" s="41">
        <v>2</v>
      </c>
      <c r="H166" s="41">
        <v>1</v>
      </c>
      <c r="I166" s="41">
        <f t="shared" si="6"/>
        <v>-1</v>
      </c>
      <c r="J166" s="45"/>
      <c r="K166" s="43"/>
    </row>
    <row r="167" spans="1:11" ht="12.5" x14ac:dyDescent="0.25">
      <c r="A167" s="37">
        <v>45642</v>
      </c>
      <c r="B167" s="38" t="s">
        <v>54</v>
      </c>
      <c r="C167" s="39" t="s">
        <v>225</v>
      </c>
      <c r="D167" s="38" t="s">
        <v>231</v>
      </c>
      <c r="E167" s="40" t="s">
        <v>66</v>
      </c>
      <c r="F167" s="40" t="s">
        <v>104</v>
      </c>
      <c r="G167" s="41">
        <v>2</v>
      </c>
      <c r="H167" s="41">
        <v>1</v>
      </c>
      <c r="I167" s="41">
        <f t="shared" si="6"/>
        <v>-1</v>
      </c>
      <c r="J167" s="45"/>
      <c r="K167" s="43"/>
    </row>
    <row r="168" spans="1:11" ht="12.5" x14ac:dyDescent="0.25">
      <c r="A168" s="37">
        <v>45642</v>
      </c>
      <c r="B168" s="38" t="s">
        <v>54</v>
      </c>
      <c r="C168" s="39" t="s">
        <v>225</v>
      </c>
      <c r="D168" s="38" t="s">
        <v>232</v>
      </c>
      <c r="E168" s="40" t="s">
        <v>66</v>
      </c>
      <c r="F168" s="40" t="s">
        <v>104</v>
      </c>
      <c r="G168" s="41">
        <v>2</v>
      </c>
      <c r="H168" s="41">
        <v>1</v>
      </c>
      <c r="I168" s="41">
        <f t="shared" si="6"/>
        <v>-1</v>
      </c>
      <c r="J168" s="45"/>
      <c r="K168" s="43"/>
    </row>
    <row r="169" spans="1:11" ht="12.5" x14ac:dyDescent="0.25">
      <c r="A169" s="37">
        <v>45642</v>
      </c>
      <c r="B169" s="38" t="s">
        <v>54</v>
      </c>
      <c r="C169" s="39" t="s">
        <v>226</v>
      </c>
      <c r="D169" s="38" t="s">
        <v>227</v>
      </c>
      <c r="E169" s="40" t="s">
        <v>52</v>
      </c>
      <c r="F169" s="40" t="s">
        <v>104</v>
      </c>
      <c r="G169" s="41">
        <v>1</v>
      </c>
      <c r="H169" s="41">
        <v>1</v>
      </c>
      <c r="I169" s="41">
        <f t="shared" si="6"/>
        <v>0</v>
      </c>
      <c r="J169" s="45"/>
      <c r="K169" s="43"/>
    </row>
    <row r="170" spans="1:11" ht="12.5" x14ac:dyDescent="0.25">
      <c r="A170" s="37">
        <v>45642</v>
      </c>
      <c r="B170" s="38" t="s">
        <v>54</v>
      </c>
      <c r="C170" s="39" t="s">
        <v>226</v>
      </c>
      <c r="D170" s="38" t="s">
        <v>228</v>
      </c>
      <c r="E170" s="40" t="s">
        <v>55</v>
      </c>
      <c r="F170" s="40" t="s">
        <v>104</v>
      </c>
      <c r="G170" s="41">
        <v>0.5</v>
      </c>
      <c r="H170" s="41">
        <v>0.5</v>
      </c>
      <c r="I170" s="41">
        <f t="shared" si="6"/>
        <v>0</v>
      </c>
      <c r="J170" s="45"/>
      <c r="K170" s="43"/>
    </row>
    <row r="171" spans="1:11" ht="12.5" x14ac:dyDescent="0.25">
      <c r="A171" s="37">
        <v>45643</v>
      </c>
      <c r="B171" s="38" t="s">
        <v>54</v>
      </c>
      <c r="C171" s="39" t="s">
        <v>79</v>
      </c>
      <c r="D171" s="38" t="s">
        <v>234</v>
      </c>
      <c r="E171" s="40" t="s">
        <v>61</v>
      </c>
      <c r="F171" s="40" t="s">
        <v>86</v>
      </c>
      <c r="G171" s="41">
        <v>0.25</v>
      </c>
      <c r="H171" s="41">
        <v>0.25</v>
      </c>
      <c r="I171" s="41">
        <f t="shared" si="6"/>
        <v>0</v>
      </c>
      <c r="J171" s="45"/>
      <c r="K171" s="43"/>
    </row>
    <row r="172" spans="1:11" ht="12.5" x14ac:dyDescent="0.25">
      <c r="A172" s="37">
        <v>45643</v>
      </c>
      <c r="B172" s="38" t="s">
        <v>54</v>
      </c>
      <c r="C172" s="39" t="s">
        <v>77</v>
      </c>
      <c r="D172" s="38" t="s">
        <v>233</v>
      </c>
      <c r="E172" s="40" t="s">
        <v>46</v>
      </c>
      <c r="F172" s="40" t="s">
        <v>87</v>
      </c>
      <c r="G172" s="41">
        <v>0.25</v>
      </c>
      <c r="H172" s="41">
        <v>0.25</v>
      </c>
      <c r="I172" s="41">
        <f t="shared" si="6"/>
        <v>0</v>
      </c>
      <c r="J172" s="45"/>
      <c r="K172" s="43"/>
    </row>
    <row r="173" spans="1:11" ht="12.5" x14ac:dyDescent="0.25">
      <c r="A173" s="37">
        <v>45643</v>
      </c>
      <c r="B173" s="38" t="s">
        <v>54</v>
      </c>
      <c r="C173" s="39" t="s">
        <v>235</v>
      </c>
      <c r="D173" s="38" t="s">
        <v>236</v>
      </c>
      <c r="E173" s="40" t="s">
        <v>63</v>
      </c>
      <c r="F173" s="40" t="s">
        <v>86</v>
      </c>
      <c r="G173" s="41">
        <v>1</v>
      </c>
      <c r="H173" s="41">
        <v>0.5</v>
      </c>
      <c r="I173" s="41">
        <f t="shared" si="6"/>
        <v>-0.5</v>
      </c>
      <c r="J173" s="45"/>
      <c r="K173" s="43"/>
    </row>
    <row r="174" spans="1:11" ht="12.5" x14ac:dyDescent="0.25">
      <c r="A174" s="37">
        <v>45643</v>
      </c>
      <c r="B174" s="38" t="s">
        <v>54</v>
      </c>
      <c r="C174" s="39" t="s">
        <v>237</v>
      </c>
      <c r="D174" s="38" t="s">
        <v>238</v>
      </c>
      <c r="E174" s="40" t="s">
        <v>66</v>
      </c>
      <c r="F174" s="40" t="s">
        <v>104</v>
      </c>
      <c r="G174" s="41">
        <v>0.5</v>
      </c>
      <c r="H174" s="41">
        <v>0.5</v>
      </c>
      <c r="I174" s="41">
        <f t="shared" si="6"/>
        <v>0</v>
      </c>
      <c r="J174" s="45"/>
      <c r="K174" s="43"/>
    </row>
    <row r="175" spans="1:11" ht="12.5" x14ac:dyDescent="0.25">
      <c r="A175" s="37">
        <v>45643</v>
      </c>
      <c r="B175" s="38" t="s">
        <v>54</v>
      </c>
      <c r="C175" s="39" t="s">
        <v>237</v>
      </c>
      <c r="D175" s="38" t="s">
        <v>239</v>
      </c>
      <c r="E175" s="40" t="s">
        <v>58</v>
      </c>
      <c r="F175" s="40" t="s">
        <v>184</v>
      </c>
      <c r="G175" s="41">
        <v>1</v>
      </c>
      <c r="H175" s="41">
        <v>1.5</v>
      </c>
      <c r="I175" s="41">
        <f t="shared" si="6"/>
        <v>0.5</v>
      </c>
      <c r="J175" s="45"/>
      <c r="K175" s="43" t="s">
        <v>279</v>
      </c>
    </row>
    <row r="176" spans="1:11" ht="12.5" x14ac:dyDescent="0.25">
      <c r="A176" s="37">
        <v>45643</v>
      </c>
      <c r="B176" s="38" t="s">
        <v>51</v>
      </c>
      <c r="C176" s="39" t="s">
        <v>237</v>
      </c>
      <c r="D176" s="38" t="s">
        <v>240</v>
      </c>
      <c r="E176" s="40" t="s">
        <v>49</v>
      </c>
      <c r="F176" s="40" t="s">
        <v>184</v>
      </c>
      <c r="G176" s="41">
        <v>2</v>
      </c>
      <c r="H176" s="41"/>
      <c r="I176" s="41">
        <f t="shared" si="6"/>
        <v>-2</v>
      </c>
      <c r="J176" s="45"/>
      <c r="K176" s="43"/>
    </row>
    <row r="177" spans="1:11" ht="12.5" x14ac:dyDescent="0.25">
      <c r="A177" s="37">
        <v>45643</v>
      </c>
      <c r="B177" s="38" t="s">
        <v>42</v>
      </c>
      <c r="C177" s="39" t="s">
        <v>237</v>
      </c>
      <c r="D177" s="38" t="s">
        <v>241</v>
      </c>
      <c r="E177" s="40" t="s">
        <v>49</v>
      </c>
      <c r="F177" s="40" t="s">
        <v>184</v>
      </c>
      <c r="G177" s="41">
        <v>2</v>
      </c>
      <c r="H177" s="41"/>
      <c r="I177" s="41">
        <f t="shared" si="6"/>
        <v>-2</v>
      </c>
      <c r="J177" s="45"/>
      <c r="K177" s="43"/>
    </row>
    <row r="178" spans="1:11" ht="12.5" x14ac:dyDescent="0.25">
      <c r="A178" s="37">
        <v>45643</v>
      </c>
      <c r="B178" s="38" t="s">
        <v>54</v>
      </c>
      <c r="C178" s="39" t="s">
        <v>282</v>
      </c>
      <c r="D178" s="38" t="s">
        <v>283</v>
      </c>
      <c r="E178" s="40" t="s">
        <v>66</v>
      </c>
      <c r="F178" s="40" t="s">
        <v>104</v>
      </c>
      <c r="G178" s="41">
        <v>3</v>
      </c>
      <c r="H178" s="41">
        <v>1.5</v>
      </c>
      <c r="I178" s="41">
        <f t="shared" si="6"/>
        <v>-1.5</v>
      </c>
      <c r="J178" s="45"/>
      <c r="K178" s="43" t="s">
        <v>285</v>
      </c>
    </row>
    <row r="179" spans="1:11" ht="12.5" x14ac:dyDescent="0.25">
      <c r="A179" s="37">
        <v>45643</v>
      </c>
      <c r="B179" s="38" t="s">
        <v>54</v>
      </c>
      <c r="C179" s="39" t="s">
        <v>282</v>
      </c>
      <c r="D179" s="38" t="s">
        <v>280</v>
      </c>
      <c r="E179" s="40" t="s">
        <v>55</v>
      </c>
      <c r="F179" s="40" t="s">
        <v>184</v>
      </c>
      <c r="G179" s="41">
        <v>0.5</v>
      </c>
      <c r="H179" s="41">
        <v>0.25</v>
      </c>
      <c r="I179" s="41">
        <f t="shared" si="6"/>
        <v>-0.25</v>
      </c>
      <c r="J179" s="45"/>
      <c r="K179" s="43" t="s">
        <v>286</v>
      </c>
    </row>
    <row r="180" spans="1:11" ht="12.5" x14ac:dyDescent="0.25">
      <c r="A180" s="37">
        <v>45643</v>
      </c>
      <c r="B180" s="38" t="s">
        <v>54</v>
      </c>
      <c r="C180" s="39" t="s">
        <v>282</v>
      </c>
      <c r="D180" s="38" t="s">
        <v>284</v>
      </c>
      <c r="E180" s="40" t="s">
        <v>66</v>
      </c>
      <c r="F180" s="40" t="s">
        <v>104</v>
      </c>
      <c r="G180" s="41">
        <v>3</v>
      </c>
      <c r="H180" s="41">
        <v>2.5</v>
      </c>
      <c r="I180" s="41">
        <f t="shared" si="6"/>
        <v>-0.5</v>
      </c>
      <c r="J180" s="45"/>
      <c r="K180" s="43"/>
    </row>
    <row r="181" spans="1:11" ht="12.5" x14ac:dyDescent="0.25">
      <c r="A181" s="37">
        <v>45645</v>
      </c>
      <c r="B181" s="38" t="s">
        <v>51</v>
      </c>
      <c r="C181" s="39" t="s">
        <v>282</v>
      </c>
      <c r="D181" s="38" t="s">
        <v>281</v>
      </c>
      <c r="E181" s="40" t="s">
        <v>55</v>
      </c>
      <c r="F181" s="40" t="s">
        <v>184</v>
      </c>
      <c r="G181" s="41">
        <v>1</v>
      </c>
      <c r="H181" s="41"/>
      <c r="I181" s="41">
        <f t="shared" si="6"/>
        <v>-1</v>
      </c>
      <c r="J181" s="45"/>
      <c r="K181" s="43" t="s">
        <v>298</v>
      </c>
    </row>
    <row r="182" spans="1:11" ht="12.5" x14ac:dyDescent="0.25">
      <c r="A182" s="37">
        <v>45646</v>
      </c>
      <c r="B182" s="38" t="s">
        <v>54</v>
      </c>
      <c r="C182" s="39" t="s">
        <v>79</v>
      </c>
      <c r="D182" s="38" t="s">
        <v>270</v>
      </c>
      <c r="E182" s="40" t="s">
        <v>61</v>
      </c>
      <c r="F182" s="40" t="s">
        <v>86</v>
      </c>
      <c r="G182" s="41">
        <v>0.25</v>
      </c>
      <c r="H182" s="41">
        <v>0.25</v>
      </c>
      <c r="I182" s="41">
        <f t="shared" si="6"/>
        <v>0</v>
      </c>
      <c r="J182" s="45"/>
      <c r="K182" s="43"/>
    </row>
    <row r="183" spans="1:11" ht="12.5" x14ac:dyDescent="0.25">
      <c r="A183" s="37">
        <v>45646</v>
      </c>
      <c r="B183" s="38" t="s">
        <v>54</v>
      </c>
      <c r="C183" s="39" t="s">
        <v>77</v>
      </c>
      <c r="D183" s="38" t="s">
        <v>287</v>
      </c>
      <c r="E183" s="40" t="s">
        <v>46</v>
      </c>
      <c r="F183" s="40" t="s">
        <v>168</v>
      </c>
      <c r="G183" s="41">
        <v>0.25</v>
      </c>
      <c r="H183" s="41">
        <v>0.25</v>
      </c>
      <c r="I183" s="41">
        <f t="shared" si="6"/>
        <v>0</v>
      </c>
      <c r="J183" s="45"/>
      <c r="K183" s="43"/>
    </row>
    <row r="184" spans="1:11" ht="12.5" x14ac:dyDescent="0.25">
      <c r="A184" s="37">
        <v>45646</v>
      </c>
      <c r="B184" s="38" t="s">
        <v>54</v>
      </c>
      <c r="C184" s="39" t="s">
        <v>288</v>
      </c>
      <c r="D184" s="38" t="s">
        <v>289</v>
      </c>
      <c r="E184" s="40" t="s">
        <v>49</v>
      </c>
      <c r="F184" s="40" t="s">
        <v>104</v>
      </c>
      <c r="G184" s="41">
        <v>1</v>
      </c>
      <c r="H184" s="41">
        <v>3.25</v>
      </c>
      <c r="I184" s="41">
        <f t="shared" si="6"/>
        <v>2.25</v>
      </c>
      <c r="J184" s="45"/>
      <c r="K184" s="43" t="s">
        <v>303</v>
      </c>
    </row>
    <row r="185" spans="1:11" ht="12.5" x14ac:dyDescent="0.25">
      <c r="A185" s="37">
        <v>45646</v>
      </c>
      <c r="B185" s="38" t="s">
        <v>54</v>
      </c>
      <c r="C185" s="39" t="s">
        <v>65</v>
      </c>
      <c r="D185" s="38" t="s">
        <v>300</v>
      </c>
      <c r="E185" s="40" t="s">
        <v>65</v>
      </c>
      <c r="F185" s="40" t="s">
        <v>104</v>
      </c>
      <c r="G185" s="41">
        <v>0.25</v>
      </c>
      <c r="H185" s="41">
        <v>0.25</v>
      </c>
      <c r="I185" s="41">
        <f t="shared" si="6"/>
        <v>0</v>
      </c>
      <c r="J185" s="45"/>
      <c r="K185" s="43"/>
    </row>
    <row r="186" spans="1:11" ht="12.5" x14ac:dyDescent="0.25">
      <c r="A186" s="37">
        <v>45646</v>
      </c>
      <c r="B186" s="38" t="s">
        <v>51</v>
      </c>
      <c r="C186" s="39" t="s">
        <v>288</v>
      </c>
      <c r="D186" s="38" t="s">
        <v>297</v>
      </c>
      <c r="E186" s="40" t="s">
        <v>52</v>
      </c>
      <c r="F186" s="40" t="s">
        <v>104</v>
      </c>
      <c r="G186" s="41">
        <v>1</v>
      </c>
      <c r="H186" s="41"/>
      <c r="I186" s="41">
        <f t="shared" si="6"/>
        <v>-1</v>
      </c>
      <c r="J186" s="45"/>
      <c r="K186" s="43"/>
    </row>
    <row r="187" spans="1:11" ht="12.5" x14ac:dyDescent="0.25">
      <c r="A187" s="37">
        <v>45646</v>
      </c>
      <c r="B187" s="38" t="s">
        <v>42</v>
      </c>
      <c r="C187" s="39" t="s">
        <v>261</v>
      </c>
      <c r="D187" s="38" t="s">
        <v>290</v>
      </c>
      <c r="E187" s="40" t="s">
        <v>49</v>
      </c>
      <c r="F187" s="40" t="s">
        <v>184</v>
      </c>
      <c r="G187" s="41">
        <v>1</v>
      </c>
      <c r="H187" s="41"/>
      <c r="I187" s="41">
        <f t="shared" si="6"/>
        <v>-1</v>
      </c>
      <c r="J187" s="45"/>
      <c r="K187" s="43"/>
    </row>
    <row r="188" spans="1:11" ht="12.5" x14ac:dyDescent="0.25">
      <c r="A188" s="37">
        <v>45646</v>
      </c>
      <c r="B188" s="38" t="s">
        <v>42</v>
      </c>
      <c r="C188" s="39" t="s">
        <v>261</v>
      </c>
      <c r="D188" s="38" t="s">
        <v>291</v>
      </c>
      <c r="E188" s="40" t="s">
        <v>49</v>
      </c>
      <c r="F188" s="40" t="s">
        <v>184</v>
      </c>
      <c r="G188" s="41">
        <v>1</v>
      </c>
      <c r="H188" s="41"/>
      <c r="I188" s="41">
        <f t="shared" si="6"/>
        <v>-1</v>
      </c>
      <c r="J188" s="45"/>
      <c r="K188" s="43"/>
    </row>
    <row r="189" spans="1:11" ht="12.5" x14ac:dyDescent="0.25">
      <c r="A189" s="37">
        <v>45646</v>
      </c>
      <c r="B189" s="38" t="s">
        <v>42</v>
      </c>
      <c r="C189" s="39" t="s">
        <v>261</v>
      </c>
      <c r="D189" s="38" t="s">
        <v>292</v>
      </c>
      <c r="E189" s="40" t="s">
        <v>49</v>
      </c>
      <c r="F189" s="40" t="s">
        <v>184</v>
      </c>
      <c r="G189" s="41">
        <v>1</v>
      </c>
      <c r="H189" s="41"/>
      <c r="I189" s="41">
        <f t="shared" si="6"/>
        <v>-1</v>
      </c>
      <c r="J189" s="45"/>
      <c r="K189" s="43"/>
    </row>
    <row r="190" spans="1:11" ht="12.5" x14ac:dyDescent="0.25">
      <c r="A190" s="37">
        <v>45646</v>
      </c>
      <c r="B190" s="38" t="s">
        <v>42</v>
      </c>
      <c r="C190" s="39" t="s">
        <v>79</v>
      </c>
      <c r="D190" s="38" t="s">
        <v>293</v>
      </c>
      <c r="E190" s="40" t="s">
        <v>63</v>
      </c>
      <c r="F190" s="40" t="s">
        <v>86</v>
      </c>
      <c r="G190" s="41">
        <v>0.25</v>
      </c>
      <c r="H190" s="41"/>
      <c r="I190" s="41">
        <f t="shared" si="6"/>
        <v>-0.25</v>
      </c>
      <c r="J190" s="45"/>
      <c r="K190" s="43"/>
    </row>
    <row r="191" spans="1:11" ht="12.5" x14ac:dyDescent="0.25">
      <c r="A191" s="37">
        <v>45646</v>
      </c>
      <c r="B191" s="38" t="s">
        <v>42</v>
      </c>
      <c r="C191" s="39" t="s">
        <v>207</v>
      </c>
      <c r="D191" s="38" t="s">
        <v>294</v>
      </c>
      <c r="E191" s="40" t="s">
        <v>63</v>
      </c>
      <c r="F191" s="40" t="s">
        <v>87</v>
      </c>
      <c r="G191" s="41">
        <v>0.25</v>
      </c>
      <c r="H191" s="41"/>
      <c r="I191" s="41">
        <f t="shared" si="6"/>
        <v>-0.25</v>
      </c>
      <c r="J191" s="45"/>
      <c r="K191" s="43" t="s">
        <v>299</v>
      </c>
    </row>
    <row r="192" spans="1:11" ht="12.5" x14ac:dyDescent="0.25">
      <c r="A192" s="37">
        <v>45646</v>
      </c>
      <c r="B192" s="38" t="s">
        <v>42</v>
      </c>
      <c r="C192" s="39" t="s">
        <v>79</v>
      </c>
      <c r="D192" s="38" t="s">
        <v>296</v>
      </c>
      <c r="E192" s="40" t="s">
        <v>63</v>
      </c>
      <c r="F192" s="40" t="s">
        <v>86</v>
      </c>
      <c r="G192" s="41">
        <v>0.25</v>
      </c>
      <c r="H192" s="41"/>
      <c r="I192" s="41">
        <f t="shared" si="6"/>
        <v>-0.25</v>
      </c>
      <c r="J192" s="45"/>
      <c r="K192" s="43"/>
    </row>
    <row r="193" spans="1:11" ht="12.5" x14ac:dyDescent="0.25">
      <c r="A193" s="37">
        <v>45646</v>
      </c>
      <c r="B193" s="38" t="s">
        <v>42</v>
      </c>
      <c r="C193" s="39" t="s">
        <v>207</v>
      </c>
      <c r="D193" s="38" t="s">
        <v>295</v>
      </c>
      <c r="E193" s="40" t="s">
        <v>63</v>
      </c>
      <c r="F193" s="40" t="s">
        <v>87</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61" t="s">
        <v>24</v>
      </c>
      <c r="B195" s="55"/>
      <c r="C195" s="55"/>
      <c r="D195" s="55"/>
      <c r="E195" s="55"/>
      <c r="F195" s="55"/>
      <c r="G195" s="55"/>
      <c r="H195" s="55"/>
      <c r="I195" s="55"/>
      <c r="J195" s="55"/>
      <c r="K195" s="56"/>
    </row>
    <row r="196" spans="1:11" ht="12.5" x14ac:dyDescent="0.25">
      <c r="A196" s="27" t="s">
        <v>12</v>
      </c>
      <c r="B196" s="54" t="s">
        <v>13</v>
      </c>
      <c r="C196" s="55"/>
      <c r="D196" s="55"/>
      <c r="E196" s="55"/>
      <c r="F196" s="55"/>
      <c r="G196" s="55"/>
      <c r="H196" s="55"/>
      <c r="I196" s="55"/>
      <c r="J196" s="55"/>
      <c r="K196" s="56"/>
    </row>
    <row r="197" spans="1:11" ht="27.75" customHeight="1" x14ac:dyDescent="0.25">
      <c r="A197" s="28" t="s">
        <v>14</v>
      </c>
      <c r="B197" s="54" t="s">
        <v>15</v>
      </c>
      <c r="C197" s="55"/>
      <c r="D197" s="55"/>
      <c r="E197" s="55"/>
      <c r="F197" s="55"/>
      <c r="G197" s="55"/>
      <c r="H197" s="55"/>
      <c r="I197" s="55"/>
      <c r="J197" s="55"/>
      <c r="K197" s="56"/>
    </row>
    <row r="198" spans="1:11" ht="12.5" x14ac:dyDescent="0.25">
      <c r="A198" s="37">
        <v>45663</v>
      </c>
      <c r="B198" s="38" t="s">
        <v>54</v>
      </c>
      <c r="C198" s="39" t="s">
        <v>79</v>
      </c>
      <c r="D198" s="38" t="s">
        <v>311</v>
      </c>
      <c r="E198" s="40" t="s">
        <v>61</v>
      </c>
      <c r="F198" s="40" t="s">
        <v>86</v>
      </c>
      <c r="G198" s="41">
        <v>0.25</v>
      </c>
      <c r="H198" s="41">
        <v>0.25</v>
      </c>
      <c r="I198" s="41">
        <f t="shared" ref="I198:I215" si="7">H198-G198</f>
        <v>0</v>
      </c>
      <c r="J198" s="45"/>
      <c r="K198" s="43"/>
    </row>
    <row r="199" spans="1:11" ht="12.5" x14ac:dyDescent="0.25">
      <c r="A199" s="37">
        <v>45663</v>
      </c>
      <c r="B199" s="38" t="s">
        <v>54</v>
      </c>
      <c r="C199" s="39" t="s">
        <v>207</v>
      </c>
      <c r="D199" s="38" t="s">
        <v>313</v>
      </c>
      <c r="E199" s="40" t="s">
        <v>61</v>
      </c>
      <c r="F199" s="40" t="s">
        <v>87</v>
      </c>
      <c r="G199" s="41">
        <v>0.25</v>
      </c>
      <c r="H199" s="41">
        <v>0.25</v>
      </c>
      <c r="I199" s="41">
        <f t="shared" si="7"/>
        <v>0</v>
      </c>
      <c r="J199" s="45"/>
      <c r="K199" s="43"/>
    </row>
    <row r="200" spans="1:11" ht="12.5" x14ac:dyDescent="0.25">
      <c r="A200" s="37">
        <v>45663</v>
      </c>
      <c r="B200" s="38" t="s">
        <v>54</v>
      </c>
      <c r="C200" s="39" t="s">
        <v>305</v>
      </c>
      <c r="D200" s="38" t="s">
        <v>301</v>
      </c>
      <c r="E200" s="40" t="s">
        <v>66</v>
      </c>
      <c r="F200" s="40" t="s">
        <v>168</v>
      </c>
      <c r="G200" s="41">
        <v>1</v>
      </c>
      <c r="H200" s="41">
        <v>1</v>
      </c>
      <c r="I200" s="41">
        <f t="shared" si="7"/>
        <v>0</v>
      </c>
      <c r="J200" s="45"/>
      <c r="K200" s="43"/>
    </row>
    <row r="201" spans="1:11" ht="12.5" x14ac:dyDescent="0.25">
      <c r="A201" s="37" t="s">
        <v>306</v>
      </c>
      <c r="B201" s="38" t="s">
        <v>54</v>
      </c>
      <c r="C201" s="39" t="s">
        <v>305</v>
      </c>
      <c r="D201" s="38" t="s">
        <v>304</v>
      </c>
      <c r="E201" s="40" t="s">
        <v>58</v>
      </c>
      <c r="F201" s="40" t="s">
        <v>168</v>
      </c>
      <c r="G201" s="41">
        <v>4</v>
      </c>
      <c r="H201" s="41">
        <v>5.25</v>
      </c>
      <c r="I201" s="41">
        <f t="shared" si="7"/>
        <v>1.25</v>
      </c>
      <c r="J201" s="45"/>
      <c r="K201" s="43" t="s">
        <v>310</v>
      </c>
    </row>
    <row r="202" spans="1:11" ht="12.5" x14ac:dyDescent="0.25">
      <c r="A202" s="37" t="s">
        <v>323</v>
      </c>
      <c r="B202" s="38" t="s">
        <v>54</v>
      </c>
      <c r="C202" s="39" t="s">
        <v>305</v>
      </c>
      <c r="D202" s="38" t="s">
        <v>302</v>
      </c>
      <c r="E202" s="40" t="s">
        <v>58</v>
      </c>
      <c r="F202" s="40" t="s">
        <v>168</v>
      </c>
      <c r="G202" s="41">
        <v>4</v>
      </c>
      <c r="H202" s="41">
        <v>5</v>
      </c>
      <c r="I202" s="41">
        <f t="shared" si="7"/>
        <v>1</v>
      </c>
      <c r="J202" s="45"/>
      <c r="K202" s="43"/>
    </row>
    <row r="203" spans="1:11" ht="12.5" x14ac:dyDescent="0.25">
      <c r="A203" s="37">
        <v>45664</v>
      </c>
      <c r="B203" s="38" t="s">
        <v>54</v>
      </c>
      <c r="C203" s="39" t="s">
        <v>65</v>
      </c>
      <c r="D203" s="38" t="s">
        <v>307</v>
      </c>
      <c r="E203" s="40" t="s">
        <v>65</v>
      </c>
      <c r="F203" s="40" t="s">
        <v>104</v>
      </c>
      <c r="G203" s="41">
        <v>1.25</v>
      </c>
      <c r="H203" s="41">
        <v>1.25</v>
      </c>
      <c r="I203" s="41">
        <f t="shared" si="7"/>
        <v>0</v>
      </c>
      <c r="J203" s="45"/>
      <c r="K203" s="43"/>
    </row>
    <row r="204" spans="1:11" ht="12.5" x14ac:dyDescent="0.25">
      <c r="A204" s="37">
        <v>45664</v>
      </c>
      <c r="B204" s="38" t="s">
        <v>42</v>
      </c>
      <c r="C204" s="39" t="s">
        <v>261</v>
      </c>
      <c r="D204" s="38" t="s">
        <v>308</v>
      </c>
      <c r="E204" s="40" t="s">
        <v>49</v>
      </c>
      <c r="F204" s="40" t="s">
        <v>104</v>
      </c>
      <c r="G204" s="41">
        <v>3</v>
      </c>
      <c r="H204" s="41"/>
      <c r="I204" s="41">
        <f t="shared" si="7"/>
        <v>-3</v>
      </c>
      <c r="J204" s="45"/>
      <c r="K204" s="43"/>
    </row>
    <row r="205" spans="1:11" ht="12.5" x14ac:dyDescent="0.25">
      <c r="A205" s="37">
        <v>45664</v>
      </c>
      <c r="B205" s="38" t="s">
        <v>42</v>
      </c>
      <c r="C205" s="39" t="s">
        <v>261</v>
      </c>
      <c r="D205" s="38" t="s">
        <v>309</v>
      </c>
      <c r="E205" s="40" t="s">
        <v>49</v>
      </c>
      <c r="F205" s="40" t="s">
        <v>104</v>
      </c>
      <c r="G205" s="41">
        <v>3</v>
      </c>
      <c r="H205" s="41"/>
      <c r="I205" s="41">
        <f t="shared" si="7"/>
        <v>-3</v>
      </c>
      <c r="J205" s="45"/>
      <c r="K205" s="43"/>
    </row>
    <row r="206" spans="1:11" ht="12.5" x14ac:dyDescent="0.25">
      <c r="A206" s="37">
        <v>45670</v>
      </c>
      <c r="B206" s="38" t="s">
        <v>54</v>
      </c>
      <c r="C206" s="39" t="s">
        <v>321</v>
      </c>
      <c r="D206" s="38" t="s">
        <v>322</v>
      </c>
      <c r="E206" s="40" t="s">
        <v>66</v>
      </c>
      <c r="F206" s="40" t="s">
        <v>184</v>
      </c>
      <c r="G206" s="41">
        <v>2</v>
      </c>
      <c r="H206" s="41">
        <v>1.5</v>
      </c>
      <c r="I206" s="41">
        <f t="shared" si="7"/>
        <v>-0.5</v>
      </c>
      <c r="J206" s="45"/>
      <c r="K206" s="43"/>
    </row>
    <row r="207" spans="1:11" ht="12.5" x14ac:dyDescent="0.25">
      <c r="A207" s="37"/>
      <c r="B207" s="38" t="s">
        <v>42</v>
      </c>
      <c r="C207" s="39" t="s">
        <v>321</v>
      </c>
      <c r="D207" s="38" t="s">
        <v>324</v>
      </c>
      <c r="E207" s="40" t="s">
        <v>58</v>
      </c>
      <c r="F207" s="40" t="s">
        <v>184</v>
      </c>
      <c r="G207" s="41">
        <v>4</v>
      </c>
      <c r="H207" s="41"/>
      <c r="I207" s="41">
        <f t="shared" si="7"/>
        <v>-4</v>
      </c>
      <c r="J207" s="45"/>
      <c r="K207" s="43"/>
    </row>
    <row r="208" spans="1:11" ht="12.5" x14ac:dyDescent="0.25">
      <c r="A208" s="37">
        <v>45671</v>
      </c>
      <c r="B208" s="38" t="s">
        <v>54</v>
      </c>
      <c r="C208" s="39" t="s">
        <v>325</v>
      </c>
      <c r="D208" s="38" t="s">
        <v>326</v>
      </c>
      <c r="E208" s="40" t="s">
        <v>66</v>
      </c>
      <c r="F208" s="40" t="s">
        <v>184</v>
      </c>
      <c r="G208" s="41">
        <v>0.5</v>
      </c>
      <c r="H208" s="41">
        <v>0.5</v>
      </c>
      <c r="I208" s="41">
        <f t="shared" si="7"/>
        <v>0</v>
      </c>
      <c r="J208" s="53" t="s">
        <v>334</v>
      </c>
      <c r="K208" s="43"/>
    </row>
    <row r="209" spans="1:11" ht="12.5" x14ac:dyDescent="0.25">
      <c r="A209" s="37">
        <v>45671</v>
      </c>
      <c r="B209" s="38" t="s">
        <v>54</v>
      </c>
      <c r="C209" s="39" t="s">
        <v>325</v>
      </c>
      <c r="D209" s="38" t="s">
        <v>327</v>
      </c>
      <c r="E209" s="40" t="s">
        <v>66</v>
      </c>
      <c r="F209" s="40" t="s">
        <v>184</v>
      </c>
      <c r="G209" s="41">
        <v>1</v>
      </c>
      <c r="H209" s="41">
        <v>1</v>
      </c>
      <c r="I209" s="41">
        <f t="shared" si="7"/>
        <v>0</v>
      </c>
      <c r="J209" s="45"/>
      <c r="K209" s="43"/>
    </row>
    <row r="210" spans="1:11" ht="12.5" x14ac:dyDescent="0.25">
      <c r="A210" s="37">
        <v>45671</v>
      </c>
      <c r="B210" s="38" t="s">
        <v>54</v>
      </c>
      <c r="C210" s="39" t="s">
        <v>325</v>
      </c>
      <c r="D210" s="38" t="s">
        <v>328</v>
      </c>
      <c r="E210" s="40" t="s">
        <v>66</v>
      </c>
      <c r="F210" s="40" t="s">
        <v>104</v>
      </c>
      <c r="G210" s="41">
        <v>1</v>
      </c>
      <c r="H210" s="41">
        <v>1</v>
      </c>
      <c r="I210" s="41">
        <f t="shared" si="7"/>
        <v>0</v>
      </c>
      <c r="J210" s="45"/>
      <c r="K210" s="43"/>
    </row>
    <row r="211" spans="1:11" ht="12.5" x14ac:dyDescent="0.25">
      <c r="A211" s="37">
        <v>45671</v>
      </c>
      <c r="B211" s="38" t="s">
        <v>51</v>
      </c>
      <c r="C211" s="39" t="s">
        <v>325</v>
      </c>
      <c r="D211" s="38" t="s">
        <v>329</v>
      </c>
      <c r="E211" s="40" t="s">
        <v>66</v>
      </c>
      <c r="F211" s="40" t="s">
        <v>104</v>
      </c>
      <c r="G211" s="41">
        <v>1</v>
      </c>
      <c r="H211" s="41"/>
      <c r="I211" s="41">
        <f t="shared" si="7"/>
        <v>-1</v>
      </c>
      <c r="J211" s="45"/>
      <c r="K211" s="43" t="s">
        <v>335</v>
      </c>
    </row>
    <row r="212" spans="1:11" ht="12.5" x14ac:dyDescent="0.25">
      <c r="A212" s="37">
        <v>45671</v>
      </c>
      <c r="B212" s="38" t="s">
        <v>42</v>
      </c>
      <c r="C212" s="39" t="s">
        <v>325</v>
      </c>
      <c r="D212" s="38" t="s">
        <v>330</v>
      </c>
      <c r="E212" s="40" t="s">
        <v>49</v>
      </c>
      <c r="F212" s="40" t="s">
        <v>104</v>
      </c>
      <c r="G212" s="41">
        <v>2</v>
      </c>
      <c r="H212" s="41"/>
      <c r="I212" s="41">
        <f t="shared" si="7"/>
        <v>-2</v>
      </c>
      <c r="J212" s="45"/>
      <c r="K212" s="43"/>
    </row>
    <row r="213" spans="1:11" ht="12.5" x14ac:dyDescent="0.25">
      <c r="A213" s="37">
        <v>45671</v>
      </c>
      <c r="B213" s="38" t="s">
        <v>42</v>
      </c>
      <c r="C213" s="39" t="s">
        <v>325</v>
      </c>
      <c r="D213" s="38" t="s">
        <v>331</v>
      </c>
      <c r="E213" s="40" t="s">
        <v>49</v>
      </c>
      <c r="F213" s="40" t="s">
        <v>104</v>
      </c>
      <c r="G213" s="41">
        <v>2</v>
      </c>
      <c r="H213" s="41"/>
      <c r="I213" s="41">
        <f t="shared" si="7"/>
        <v>-2</v>
      </c>
      <c r="J213" s="45"/>
      <c r="K213" s="43"/>
    </row>
    <row r="214" spans="1:11" ht="12.5" x14ac:dyDescent="0.25">
      <c r="A214" s="37"/>
      <c r="B214" s="38"/>
      <c r="C214" s="39" t="s">
        <v>17</v>
      </c>
      <c r="D214" s="38"/>
      <c r="E214" s="40"/>
      <c r="F214" s="40"/>
      <c r="G214" s="41"/>
      <c r="H214" s="41"/>
      <c r="I214" s="41">
        <f t="shared" si="7"/>
        <v>0</v>
      </c>
      <c r="J214" s="45"/>
      <c r="K214" s="43"/>
    </row>
    <row r="215" spans="1:11" ht="12.5" x14ac:dyDescent="0.25">
      <c r="A215" s="13"/>
      <c r="B215" s="15"/>
      <c r="C215" s="15"/>
      <c r="D215" s="15"/>
      <c r="E215" s="15" t="s">
        <v>18</v>
      </c>
      <c r="F215" s="15"/>
      <c r="G215" s="18">
        <f t="shared" ref="G215:H215" si="8">SUM(G198:G214)</f>
        <v>30.25</v>
      </c>
      <c r="H215" s="18">
        <f t="shared" si="8"/>
        <v>17</v>
      </c>
      <c r="I215" s="18">
        <f t="shared" si="7"/>
        <v>-13.25</v>
      </c>
      <c r="J215" s="19"/>
      <c r="K215" s="46"/>
    </row>
    <row r="216" spans="1:11" ht="18.75" customHeight="1" x14ac:dyDescent="0.25">
      <c r="A216" s="57" t="s">
        <v>25</v>
      </c>
      <c r="B216" s="55"/>
      <c r="C216" s="55"/>
      <c r="D216" s="55"/>
      <c r="E216" s="55"/>
      <c r="F216" s="55"/>
      <c r="G216" s="55"/>
      <c r="H216" s="55"/>
      <c r="I216" s="55"/>
      <c r="J216" s="55"/>
      <c r="K216" s="56"/>
    </row>
    <row r="217" spans="1:11" ht="12.5" x14ac:dyDescent="0.25">
      <c r="A217" s="29" t="s">
        <v>12</v>
      </c>
      <c r="B217" s="75" t="s">
        <v>13</v>
      </c>
      <c r="C217" s="55"/>
      <c r="D217" s="55"/>
      <c r="E217" s="55"/>
      <c r="F217" s="55"/>
      <c r="G217" s="55"/>
      <c r="H217" s="55"/>
      <c r="I217" s="55"/>
      <c r="J217" s="55"/>
      <c r="K217" s="56"/>
    </row>
    <row r="218" spans="1:11" ht="28.5" customHeight="1" x14ac:dyDescent="0.25">
      <c r="A218" s="30" t="s">
        <v>14</v>
      </c>
      <c r="B218" s="75" t="s">
        <v>15</v>
      </c>
      <c r="C218" s="55"/>
      <c r="D218" s="55"/>
      <c r="E218" s="55"/>
      <c r="F218" s="55"/>
      <c r="G218" s="55"/>
      <c r="H218" s="55"/>
      <c r="I218" s="55"/>
      <c r="J218" s="55"/>
      <c r="K218" s="56"/>
    </row>
    <row r="219" spans="1:11" ht="12.5" x14ac:dyDescent="0.25">
      <c r="A219" s="37">
        <v>45670</v>
      </c>
      <c r="B219" s="38" t="s">
        <v>54</v>
      </c>
      <c r="C219" s="39" t="s">
        <v>79</v>
      </c>
      <c r="D219" s="38" t="s">
        <v>311</v>
      </c>
      <c r="E219" s="40" t="s">
        <v>61</v>
      </c>
      <c r="F219" s="40" t="s">
        <v>86</v>
      </c>
      <c r="G219" s="41">
        <v>0.25</v>
      </c>
      <c r="H219" s="41">
        <v>0.25</v>
      </c>
      <c r="I219" s="41">
        <f t="shared" ref="I219:I229" si="9">H219-G219</f>
        <v>0</v>
      </c>
      <c r="J219" s="45"/>
      <c r="K219" s="43"/>
    </row>
    <row r="220" spans="1:11" ht="12.5" x14ac:dyDescent="0.25">
      <c r="A220" s="37">
        <v>45670</v>
      </c>
      <c r="B220" s="38" t="s">
        <v>54</v>
      </c>
      <c r="C220" s="39" t="s">
        <v>207</v>
      </c>
      <c r="D220" s="38" t="s">
        <v>312</v>
      </c>
      <c r="E220" s="40" t="s">
        <v>61</v>
      </c>
      <c r="F220" s="40" t="s">
        <v>87</v>
      </c>
      <c r="G220" s="41">
        <v>0.25</v>
      </c>
      <c r="H220" s="41">
        <v>0.25</v>
      </c>
      <c r="I220" s="41">
        <f t="shared" si="9"/>
        <v>0</v>
      </c>
      <c r="J220" s="45"/>
      <c r="K220" s="43"/>
    </row>
    <row r="221" spans="1:11" ht="12.5" x14ac:dyDescent="0.25">
      <c r="A221" s="37">
        <v>45670</v>
      </c>
      <c r="B221" s="38" t="s">
        <v>54</v>
      </c>
      <c r="C221" s="39" t="s">
        <v>314</v>
      </c>
      <c r="D221" s="38" t="s">
        <v>315</v>
      </c>
      <c r="E221" s="40" t="s">
        <v>66</v>
      </c>
      <c r="F221" s="40" t="s">
        <v>184</v>
      </c>
      <c r="G221" s="41">
        <v>0.75</v>
      </c>
      <c r="H221" s="41">
        <v>0.75</v>
      </c>
      <c r="I221" s="41">
        <f t="shared" si="9"/>
        <v>0</v>
      </c>
      <c r="J221" s="45"/>
      <c r="K221" s="43"/>
    </row>
    <row r="222" spans="1:11" ht="12.5" x14ac:dyDescent="0.25">
      <c r="A222" s="37">
        <v>45670</v>
      </c>
      <c r="B222" s="38" t="s">
        <v>54</v>
      </c>
      <c r="C222" s="39" t="s">
        <v>314</v>
      </c>
      <c r="D222" s="38" t="s">
        <v>316</v>
      </c>
      <c r="E222" s="40" t="s">
        <v>66</v>
      </c>
      <c r="F222" s="40" t="s">
        <v>184</v>
      </c>
      <c r="G222" s="41">
        <v>0.5</v>
      </c>
      <c r="H222" s="41">
        <v>0.5</v>
      </c>
      <c r="I222" s="41">
        <f t="shared" si="9"/>
        <v>0</v>
      </c>
      <c r="J222" s="45"/>
      <c r="K222" s="43"/>
    </row>
    <row r="223" spans="1:11" ht="12.5" x14ac:dyDescent="0.25">
      <c r="A223" s="37">
        <v>45670</v>
      </c>
      <c r="B223" s="38" t="s">
        <v>54</v>
      </c>
      <c r="C223" s="39" t="s">
        <v>318</v>
      </c>
      <c r="D223" s="38" t="s">
        <v>317</v>
      </c>
      <c r="E223" s="40" t="s">
        <v>63</v>
      </c>
      <c r="F223" s="40" t="s">
        <v>86</v>
      </c>
      <c r="G223" s="41">
        <v>0.5</v>
      </c>
      <c r="H223" s="41">
        <v>0.5</v>
      </c>
      <c r="I223" s="41">
        <f t="shared" si="9"/>
        <v>0</v>
      </c>
      <c r="J223" s="45"/>
      <c r="K223" s="43"/>
    </row>
    <row r="224" spans="1:11" ht="12.5" x14ac:dyDescent="0.25">
      <c r="A224" s="37">
        <v>45670</v>
      </c>
      <c r="B224" s="38" t="s">
        <v>45</v>
      </c>
      <c r="C224" s="39" t="s">
        <v>320</v>
      </c>
      <c r="D224" s="38" t="s">
        <v>319</v>
      </c>
      <c r="E224" s="40" t="s">
        <v>67</v>
      </c>
      <c r="F224" s="40" t="s">
        <v>86</v>
      </c>
      <c r="G224" s="41">
        <v>0.1</v>
      </c>
      <c r="H224" s="41">
        <v>0.1</v>
      </c>
      <c r="I224" s="41">
        <f t="shared" si="9"/>
        <v>0</v>
      </c>
      <c r="J224" s="45"/>
      <c r="K224" s="43"/>
    </row>
    <row r="225" spans="1:11" ht="12.5" x14ac:dyDescent="0.25">
      <c r="A225" s="37">
        <v>45671</v>
      </c>
      <c r="B225" s="38" t="s">
        <v>54</v>
      </c>
      <c r="C225" s="39" t="s">
        <v>79</v>
      </c>
      <c r="D225" s="38" t="s">
        <v>266</v>
      </c>
      <c r="E225" s="40" t="s">
        <v>61</v>
      </c>
      <c r="F225" s="40" t="s">
        <v>86</v>
      </c>
      <c r="G225" s="41">
        <v>0.15</v>
      </c>
      <c r="H225" s="41">
        <v>0.15</v>
      </c>
      <c r="I225" s="41">
        <f t="shared" si="9"/>
        <v>0</v>
      </c>
      <c r="J225" s="45"/>
      <c r="K225" s="43"/>
    </row>
    <row r="226" spans="1:11" ht="12.5" x14ac:dyDescent="0.25">
      <c r="A226" s="37">
        <v>45671</v>
      </c>
      <c r="B226" s="38" t="s">
        <v>54</v>
      </c>
      <c r="C226" s="39" t="s">
        <v>77</v>
      </c>
      <c r="D226" s="38" t="s">
        <v>287</v>
      </c>
      <c r="E226" s="40" t="s">
        <v>46</v>
      </c>
      <c r="F226" s="40" t="s">
        <v>86</v>
      </c>
      <c r="G226" s="41">
        <v>0.25</v>
      </c>
      <c r="H226" s="41">
        <v>0.25</v>
      </c>
      <c r="I226" s="41">
        <f t="shared" si="9"/>
        <v>0</v>
      </c>
      <c r="J226" s="45"/>
      <c r="K226" s="43"/>
    </row>
    <row r="227" spans="1:11" ht="12.5" x14ac:dyDescent="0.25">
      <c r="A227" s="37">
        <v>45671</v>
      </c>
      <c r="B227" s="38" t="s">
        <v>54</v>
      </c>
      <c r="C227" s="39" t="s">
        <v>333</v>
      </c>
      <c r="D227" s="38" t="s">
        <v>332</v>
      </c>
      <c r="E227" s="40" t="s">
        <v>63</v>
      </c>
      <c r="F227" s="40" t="s">
        <v>86</v>
      </c>
      <c r="G227" s="41">
        <v>0.25</v>
      </c>
      <c r="H227" s="41">
        <v>0.25</v>
      </c>
      <c r="I227" s="41">
        <f t="shared" si="9"/>
        <v>0</v>
      </c>
      <c r="J227" s="45"/>
      <c r="K227" s="43"/>
    </row>
    <row r="228" spans="1:11" ht="12.5" x14ac:dyDescent="0.25">
      <c r="A228" s="37"/>
      <c r="B228" s="38"/>
      <c r="C228" s="39" t="s">
        <v>17</v>
      </c>
      <c r="D228" s="38"/>
      <c r="E228" s="40"/>
      <c r="F228" s="40"/>
      <c r="G228" s="41"/>
      <c r="H228" s="41"/>
      <c r="I228" s="41">
        <f t="shared" si="9"/>
        <v>0</v>
      </c>
      <c r="J228" s="45"/>
      <c r="K228" s="43"/>
    </row>
    <row r="229" spans="1:11" ht="12.5" x14ac:dyDescent="0.25">
      <c r="A229" s="13"/>
      <c r="B229" s="15"/>
      <c r="C229" s="15"/>
      <c r="D229" s="15"/>
      <c r="E229" s="15" t="s">
        <v>18</v>
      </c>
      <c r="F229" s="15"/>
      <c r="G229" s="18">
        <f t="shared" ref="G229:H229" si="10">SUM(G219:G228)</f>
        <v>3</v>
      </c>
      <c r="H229" s="18">
        <f t="shared" si="10"/>
        <v>3</v>
      </c>
      <c r="I229" s="18">
        <f t="shared" si="9"/>
        <v>0</v>
      </c>
      <c r="J229" s="19"/>
      <c r="K229" s="46"/>
    </row>
    <row r="230" spans="1:11" ht="18.75" customHeight="1" x14ac:dyDescent="0.25">
      <c r="A230" s="62" t="s">
        <v>26</v>
      </c>
      <c r="B230" s="63"/>
      <c r="C230" s="63"/>
      <c r="D230" s="63"/>
      <c r="E230" s="63"/>
      <c r="F230" s="63"/>
      <c r="G230" s="63"/>
      <c r="H230" s="63"/>
      <c r="I230" s="63"/>
      <c r="J230" s="63"/>
      <c r="K230" s="64"/>
    </row>
    <row r="231" spans="1:11" ht="12.5" x14ac:dyDescent="0.25">
      <c r="A231" s="32" t="s">
        <v>12</v>
      </c>
      <c r="B231" s="65" t="s">
        <v>13</v>
      </c>
      <c r="C231" s="63"/>
      <c r="D231" s="63"/>
      <c r="E231" s="63"/>
      <c r="F231" s="63"/>
      <c r="G231" s="63"/>
      <c r="H231" s="63"/>
      <c r="I231" s="63"/>
      <c r="J231" s="63"/>
      <c r="K231" s="64"/>
    </row>
    <row r="232" spans="1:11" ht="28.5" customHeight="1" x14ac:dyDescent="0.25">
      <c r="A232" s="33" t="s">
        <v>14</v>
      </c>
      <c r="B232" s="65" t="s">
        <v>15</v>
      </c>
      <c r="C232" s="63"/>
      <c r="D232" s="63"/>
      <c r="E232" s="63"/>
      <c r="F232" s="63"/>
      <c r="G232" s="63"/>
      <c r="H232" s="63"/>
      <c r="I232" s="63"/>
      <c r="J232" s="63"/>
      <c r="K232" s="64"/>
    </row>
    <row r="233" spans="1:11" ht="12.5" x14ac:dyDescent="0.25">
      <c r="A233" s="37"/>
      <c r="B233" s="38"/>
      <c r="C233" s="39" t="s">
        <v>17</v>
      </c>
      <c r="D233" s="38"/>
      <c r="E233" s="40"/>
      <c r="F233" s="40"/>
      <c r="G233" s="41"/>
      <c r="H233" s="41"/>
      <c r="I233" s="41">
        <f t="shared" ref="I233:I243" si="11">H233-G233</f>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37"/>
      <c r="B236" s="38"/>
      <c r="C236" s="39" t="s">
        <v>17</v>
      </c>
      <c r="D236" s="38"/>
      <c r="E236" s="40"/>
      <c r="F236" s="40"/>
      <c r="G236" s="41"/>
      <c r="H236" s="41"/>
      <c r="I236" s="41">
        <f t="shared" si="11"/>
        <v>0</v>
      </c>
      <c r="J236" s="45"/>
      <c r="K236" s="43"/>
    </row>
    <row r="237" spans="1:11" ht="12.5" x14ac:dyDescent="0.25">
      <c r="A237" s="37"/>
      <c r="B237" s="38"/>
      <c r="C237" s="39" t="s">
        <v>17</v>
      </c>
      <c r="D237" s="38"/>
      <c r="E237" s="40"/>
      <c r="F237" s="40"/>
      <c r="G237" s="41"/>
      <c r="H237" s="41"/>
      <c r="I237" s="41">
        <f t="shared" si="11"/>
        <v>0</v>
      </c>
      <c r="J237" s="45"/>
      <c r="K237" s="43"/>
    </row>
    <row r="238" spans="1:11" ht="12.5" x14ac:dyDescent="0.25">
      <c r="A238" s="37"/>
      <c r="B238" s="38"/>
      <c r="C238" s="39" t="s">
        <v>17</v>
      </c>
      <c r="D238" s="38"/>
      <c r="E238" s="40"/>
      <c r="F238" s="40"/>
      <c r="G238" s="41"/>
      <c r="H238" s="41"/>
      <c r="I238" s="41">
        <f t="shared" si="11"/>
        <v>0</v>
      </c>
      <c r="J238" s="45"/>
      <c r="K238" s="43"/>
    </row>
    <row r="239" spans="1:11" ht="12.5" x14ac:dyDescent="0.25">
      <c r="A239" s="37"/>
      <c r="B239" s="38"/>
      <c r="C239" s="39" t="s">
        <v>17</v>
      </c>
      <c r="D239" s="38"/>
      <c r="E239" s="40"/>
      <c r="F239" s="40"/>
      <c r="G239" s="41"/>
      <c r="H239" s="41"/>
      <c r="I239" s="41">
        <f t="shared" si="11"/>
        <v>0</v>
      </c>
      <c r="J239" s="45"/>
      <c r="K239" s="43"/>
    </row>
    <row r="240" spans="1:11" ht="12.5" x14ac:dyDescent="0.25">
      <c r="A240" s="37"/>
      <c r="B240" s="38"/>
      <c r="C240" s="39" t="s">
        <v>17</v>
      </c>
      <c r="D240" s="38"/>
      <c r="E240" s="40"/>
      <c r="F240" s="40"/>
      <c r="G240" s="41"/>
      <c r="H240" s="41"/>
      <c r="I240" s="41">
        <f t="shared" si="11"/>
        <v>0</v>
      </c>
      <c r="J240" s="45"/>
      <c r="K240" s="43"/>
    </row>
    <row r="241" spans="1:11" ht="12.5" x14ac:dyDescent="0.25">
      <c r="A241" s="37"/>
      <c r="B241" s="38"/>
      <c r="C241" s="39" t="s">
        <v>17</v>
      </c>
      <c r="D241" s="38"/>
      <c r="E241" s="40"/>
      <c r="F241" s="40"/>
      <c r="G241" s="41"/>
      <c r="H241" s="41"/>
      <c r="I241" s="41">
        <f t="shared" si="11"/>
        <v>0</v>
      </c>
      <c r="J241" s="45"/>
      <c r="K241" s="43"/>
    </row>
    <row r="242" spans="1:11" ht="12.5" x14ac:dyDescent="0.25">
      <c r="A242" s="37"/>
      <c r="B242" s="38"/>
      <c r="C242" s="39" t="s">
        <v>17</v>
      </c>
      <c r="D242" s="38"/>
      <c r="E242" s="40"/>
      <c r="F242" s="40"/>
      <c r="G242" s="41"/>
      <c r="H242" s="41"/>
      <c r="I242" s="41">
        <f t="shared" si="11"/>
        <v>0</v>
      </c>
      <c r="J242" s="45"/>
      <c r="K242" s="43"/>
    </row>
    <row r="243" spans="1:11" ht="12.5" x14ac:dyDescent="0.25">
      <c r="A243" s="48"/>
      <c r="B243" s="49"/>
      <c r="C243" s="49"/>
      <c r="D243" s="49"/>
      <c r="E243" s="49" t="s">
        <v>18</v>
      </c>
      <c r="F243" s="49"/>
      <c r="G243" s="50">
        <f t="shared" ref="G243:H243" si="12">SUM(G233:G242)</f>
        <v>0</v>
      </c>
      <c r="H243" s="50">
        <f t="shared" si="12"/>
        <v>0</v>
      </c>
      <c r="I243" s="50">
        <f t="shared" si="11"/>
        <v>0</v>
      </c>
      <c r="J243" s="51"/>
      <c r="K243" s="52"/>
    </row>
  </sheetData>
  <autoFilter ref="A1:K46" xr:uid="{00000000-0009-0000-0000-000000000000}"/>
  <customSheetViews>
    <customSheetView guid="{8BAC9A6B-5D32-4E8D-967D-E17D357516F8}" filter="1" showAutoFilter="1">
      <pageMargins left="0" right="0" top="0" bottom="0" header="0" footer="0"/>
      <autoFilter ref="A1:K15" xr:uid="{31E37D5F-FC0E-474C-A508-4E46DF4C845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0:K230"/>
    <mergeCell ref="B231:K231"/>
    <mergeCell ref="B232:K232"/>
    <mergeCell ref="A2:K2"/>
    <mergeCell ref="B3:K3"/>
    <mergeCell ref="B4:K4"/>
    <mergeCell ref="A47:K47"/>
    <mergeCell ref="B48:K48"/>
    <mergeCell ref="B49:K49"/>
    <mergeCell ref="A83:K83"/>
    <mergeCell ref="B84:K84"/>
    <mergeCell ref="B85:K85"/>
    <mergeCell ref="A118:K118"/>
    <mergeCell ref="B217:K217"/>
    <mergeCell ref="B218:K218"/>
    <mergeCell ref="B119:K119"/>
    <mergeCell ref="B196:K196"/>
    <mergeCell ref="B197:K197"/>
    <mergeCell ref="A216:K216"/>
    <mergeCell ref="B120:K120"/>
    <mergeCell ref="A151:K151"/>
    <mergeCell ref="B152:K152"/>
    <mergeCell ref="B153:K153"/>
    <mergeCell ref="A195:K195"/>
  </mergeCells>
  <conditionalFormatting sqref="B5:B45 B48:B81 B86:B116 B121:B149 B154:B193 B198:B214 B219:B22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15 B217:B229 B231:B243">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33:B242">
    <cfRule type="containsText" dxfId="8" priority="1" operator="containsText" text="Unplanned">
      <formula>NOT(ISERROR(SEARCH(("Unplanned"),(B233))))</formula>
    </cfRule>
    <cfRule type="containsText" dxfId="7" priority="2" operator="containsText" text="Planned">
      <formula>NOT(ISERROR(SEARCH(("Planned"),(B233))))</formula>
    </cfRule>
    <cfRule type="containsText" dxfId="6" priority="3" operator="containsText" text="In-Progress">
      <formula>NOT(ISERROR(SEARCH(("In-Progress"),(B233))))</formula>
    </cfRule>
    <cfRule type="containsText" dxfId="5" priority="4" operator="containsText" text="Blocked">
      <formula>NOT(ISERROR(SEARCH(("Blocked"),(B233))))</formula>
    </cfRule>
    <cfRule type="containsText" dxfId="4" priority="5" operator="containsText" text="Done">
      <formula>NOT(ISERROR(SEARCH(("Done"),(B233))))</formula>
    </cfRule>
  </conditionalFormatting>
  <conditionalFormatting sqref="G1 G3:G46 G50:G82 G86:G117 G121:G150 G154:G194 G198:G215 G219:G229 G233:G243">
    <cfRule type="cellIs" dxfId="3" priority="15" operator="greaterThan">
      <formula>4</formula>
    </cfRule>
  </conditionalFormatting>
  <conditionalFormatting sqref="H1:H243">
    <cfRule type="containsBlanks" dxfId="2" priority="16">
      <formula>LEN(TRIM(H1))=0</formula>
    </cfRule>
  </conditionalFormatting>
  <conditionalFormatting sqref="I5:I46 I50:I82 I86:I117 I121:I150 I154:I194 I198:I215 I219:I229 I233:I243">
    <cfRule type="expression" dxfId="1" priority="13">
      <formula>H5/G5&gt;=1.5</formula>
    </cfRule>
    <cfRule type="expression" dxfId="0" priority="14">
      <formula>H5/G5&lt;=0.5</formula>
    </cfRule>
  </conditionalFormatting>
  <dataValidations count="1">
    <dataValidation type="list" allowBlank="1" sqref="F233:F242 F219:F228 F86:F116 F198:F214 F5:F45 F50:F81 F121:F149 F154:F193" xr:uid="{0FAB3063-668E-4727-8636-10D0A6594410}">
      <formula1>"ILO 0.2, ILO 1.2, ILO 2.2, ILO 6.2, ILO 8.1, ILO 8.2, ILO 11.1"</formula1>
    </dataValidation>
  </dataValidations>
  <hyperlinks>
    <hyperlink ref="J29" r:id="rId1" xr:uid="{0999D960-5356-4EE8-BA28-70F36BB764AC}"/>
    <hyperlink ref="J208"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E198:E214 E219:E228 E233:E242 E50:E81 E121:E149 E154:E193</xm:sqref>
        </x14:dataValidation>
        <x14:dataValidation type="list" allowBlank="1" xr:uid="{00000000-0002-0000-0000-000002000000}">
          <x14:formula1>
            <xm:f>'Drop-downs'!$A$2:$A$9</xm:f>
          </x14:formula1>
          <xm:sqref>B5:B45 B86:B116 B198:B214 B219:B228 B233:B242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2025-01-14T13:02:03Z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