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maksb\OneDrive\Documents\GitHub\2024-25b-fai1-adsai-MaksBurchard240894\Deliverables\"/>
    </mc:Choice>
  </mc:AlternateContent>
  <xr:revisionPtr revIDLastSave="0" documentId="13_ncr:1_{049651C3-8AE2-40D4-8B72-08F808D3B87B}" xr6:coauthVersionLast="47" xr6:coauthVersionMax="47" xr10:uidLastSave="{00000000-0000-0000-0000-000000000000}"/>
  <bookViews>
    <workbookView xWindow="-108" yWindow="-108" windowWidth="23256" windowHeight="12576" xr2:uid="{00000000-000D-0000-FFFF-FFFF00000000}"/>
  </bookViews>
  <sheets>
    <sheet name="Worklog_Tasks&amp;Times" sheetId="1" r:id="rId1"/>
    <sheet name="Overview" sheetId="2" state="hidden" r:id="rId2"/>
    <sheet name="Drop-downs" sheetId="3" state="hidden" r:id="rId3"/>
  </sheets>
  <definedNames>
    <definedName name="_xlnm._FilterDatabase" localSheetId="0" hidden="1">'Worklog_Tasks&amp;Times'!$A$1:$K$45</definedName>
    <definedName name="_xlnm.Print_Area" localSheetId="0">'Worklog_Tasks&amp;Times'!$A$1:$K$134</definedName>
    <definedName name="Z_8BAC9A6B_5D32_4E8D_967D_E17D357516F8_.wvu.FilterData" localSheetId="0" hidden="1">'Worklog_Tasks&amp;Times'!$A$1:$K$45</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2" i="1" l="1"/>
  <c r="I61" i="1"/>
  <c r="I60" i="1"/>
  <c r="I59" i="1"/>
  <c r="I58" i="1"/>
  <c r="I63" i="1"/>
  <c r="I39" i="1"/>
  <c r="I42" i="1"/>
  <c r="I41" i="1"/>
  <c r="I37" i="1"/>
  <c r="I36" i="1"/>
  <c r="I33" i="1"/>
  <c r="H45" i="1"/>
  <c r="I38" i="1"/>
  <c r="I35" i="1"/>
  <c r="I34" i="1"/>
  <c r="I40" i="1"/>
  <c r="I43" i="1"/>
  <c r="I44" i="1"/>
  <c r="I32" i="1"/>
  <c r="I31" i="1"/>
  <c r="I29" i="1"/>
  <c r="I30" i="1"/>
  <c r="I23" i="1"/>
  <c r="I24" i="1"/>
  <c r="I25" i="1"/>
  <c r="I26" i="1"/>
  <c r="I27" i="1"/>
  <c r="I28" i="1"/>
  <c r="I22" i="1"/>
  <c r="I21" i="1"/>
  <c r="G45" i="1"/>
  <c r="I20" i="1"/>
  <c r="I19" i="1"/>
  <c r="I18" i="1" l="1"/>
  <c r="I16" i="1"/>
  <c r="I15" i="1"/>
  <c r="I13" i="1"/>
  <c r="D4" i="2" l="1" a="1"/>
  <c r="D4" i="2" s="1"/>
  <c r="C5" i="2" a="1"/>
  <c r="C5" i="2" s="1"/>
  <c r="C4" i="2" a="1"/>
  <c r="C4" i="2" s="1"/>
  <c r="E4" i="2" a="1"/>
  <c r="E4" i="2" s="1"/>
  <c r="F4" i="2" a="1"/>
  <c r="F4" i="2" s="1"/>
  <c r="G4" i="2" a="1"/>
  <c r="G4" i="2" s="1"/>
  <c r="H4" i="2" a="1"/>
  <c r="H4" i="2" s="1"/>
  <c r="I4" i="2" a="1"/>
  <c r="I4" i="2" s="1"/>
  <c r="J4" i="2" a="1"/>
  <c r="J4" i="2" s="1"/>
  <c r="D5" i="2" a="1"/>
  <c r="D5" i="2" s="1"/>
  <c r="E5" i="2" a="1"/>
  <c r="E5" i="2" s="1"/>
  <c r="F5" i="2" a="1"/>
  <c r="F5" i="2" s="1"/>
  <c r="G5" i="2" a="1"/>
  <c r="G5" i="2" s="1"/>
  <c r="H5" i="2" a="1"/>
  <c r="H5" i="2" s="1"/>
  <c r="I5" i="2" a="1"/>
  <c r="I5" i="2" s="1"/>
  <c r="J5" i="2" a="1"/>
  <c r="J5" i="2" s="1"/>
  <c r="D6" i="2" a="1"/>
  <c r="D6" i="2" s="1"/>
  <c r="E6" i="2" a="1"/>
  <c r="E6" i="2" s="1"/>
  <c r="F6" i="2" a="1"/>
  <c r="F6" i="2" s="1"/>
  <c r="G6" i="2" a="1"/>
  <c r="G6" i="2" s="1"/>
  <c r="H6" i="2" a="1"/>
  <c r="H6" i="2" s="1"/>
  <c r="I6" i="2" a="1"/>
  <c r="I6" i="2" s="1"/>
  <c r="J6" i="2" a="1"/>
  <c r="J6" i="2" s="1"/>
  <c r="D7" i="2" a="1"/>
  <c r="D7" i="2" s="1"/>
  <c r="E7" i="2" a="1"/>
  <c r="E7" i="2" s="1"/>
  <c r="F7" i="2" a="1"/>
  <c r="F7" i="2" s="1"/>
  <c r="G7" i="2" a="1"/>
  <c r="G7" i="2" s="1"/>
  <c r="H7" i="2" a="1"/>
  <c r="H7" i="2" s="1"/>
  <c r="I7" i="2" a="1"/>
  <c r="I7" i="2" s="1"/>
  <c r="J7" i="2" a="1"/>
  <c r="J7" i="2" s="1"/>
  <c r="D8" i="2" a="1"/>
  <c r="D8" i="2" s="1"/>
  <c r="E8" i="2" a="1"/>
  <c r="E8" i="2" s="1"/>
  <c r="F8" i="2" a="1"/>
  <c r="F8" i="2" s="1"/>
  <c r="G8" i="2" a="1"/>
  <c r="G8" i="2" s="1"/>
  <c r="H8" i="2" a="1"/>
  <c r="H8" i="2" s="1"/>
  <c r="I8" i="2" a="1"/>
  <c r="I8" i="2" s="1"/>
  <c r="J8" i="2" a="1"/>
  <c r="J8" i="2" s="1"/>
  <c r="D9" i="2" a="1"/>
  <c r="D9" i="2" s="1"/>
  <c r="E9" i="2" a="1"/>
  <c r="E9" i="2" s="1"/>
  <c r="F9" i="2" a="1"/>
  <c r="F9" i="2" s="1"/>
  <c r="G9" i="2" a="1"/>
  <c r="G9" i="2" s="1"/>
  <c r="H9" i="2" a="1"/>
  <c r="H9" i="2" s="1"/>
  <c r="I9" i="2" a="1"/>
  <c r="I9" i="2" s="1"/>
  <c r="J9" i="2" a="1"/>
  <c r="J9" i="2" s="1"/>
  <c r="D10" i="2" a="1"/>
  <c r="D10" i="2" s="1"/>
  <c r="E10" i="2" a="1"/>
  <c r="E10" i="2" s="1"/>
  <c r="F10" i="2" a="1"/>
  <c r="F10" i="2" s="1"/>
  <c r="G10" i="2" a="1"/>
  <c r="G10" i="2" s="1"/>
  <c r="H10" i="2" a="1"/>
  <c r="H10" i="2" s="1"/>
  <c r="I10" i="2" a="1"/>
  <c r="I10" i="2" s="1"/>
  <c r="J10" i="2" a="1"/>
  <c r="J10" i="2" s="1"/>
  <c r="C6" i="2" a="1"/>
  <c r="C6" i="2" s="1"/>
  <c r="C7" i="2" a="1"/>
  <c r="C7" i="2" s="1"/>
  <c r="C8" i="2" a="1"/>
  <c r="C8" i="2" s="1"/>
  <c r="C9" i="2" a="1"/>
  <c r="C9" i="2" s="1"/>
  <c r="C10" i="2" a="1"/>
  <c r="C10" i="2" s="1"/>
  <c r="H149" i="1"/>
  <c r="G149" i="1"/>
  <c r="I148" i="1"/>
  <c r="I147" i="1"/>
  <c r="I146" i="1"/>
  <c r="I145" i="1"/>
  <c r="I144" i="1"/>
  <c r="I143" i="1"/>
  <c r="I142" i="1"/>
  <c r="I141" i="1"/>
  <c r="I140" i="1"/>
  <c r="I139" i="1"/>
  <c r="H135" i="1"/>
  <c r="G135" i="1"/>
  <c r="B9" i="2"/>
  <c r="B8" i="2"/>
  <c r="B11" i="2"/>
  <c r="B10" i="2"/>
  <c r="K11" i="2"/>
  <c r="I149" i="1" l="1"/>
  <c r="K8" i="2"/>
  <c r="K10" i="2"/>
  <c r="E12" i="2"/>
  <c r="D12" i="2"/>
  <c r="I135" i="1"/>
  <c r="J12" i="2"/>
  <c r="I12" i="2"/>
  <c r="H12" i="2"/>
  <c r="G12" i="2"/>
  <c r="F12" i="2"/>
  <c r="K9" i="2"/>
  <c r="K7" i="2"/>
  <c r="B7" i="2"/>
  <c r="K6" i="2"/>
  <c r="B6" i="2"/>
  <c r="K5" i="2"/>
  <c r="B5" i="2"/>
  <c r="C12" i="2"/>
  <c r="B4" i="2"/>
  <c r="K3" i="2"/>
  <c r="B3" i="2"/>
  <c r="I134" i="1"/>
  <c r="I133" i="1"/>
  <c r="I132" i="1"/>
  <c r="I131" i="1"/>
  <c r="I130" i="1"/>
  <c r="I129" i="1"/>
  <c r="I128" i="1"/>
  <c r="I127" i="1"/>
  <c r="I126" i="1"/>
  <c r="I125" i="1"/>
  <c r="H121" i="1"/>
  <c r="G121" i="1"/>
  <c r="I120" i="1"/>
  <c r="I119" i="1"/>
  <c r="I118" i="1"/>
  <c r="I117" i="1"/>
  <c r="I116" i="1"/>
  <c r="I115" i="1"/>
  <c r="I114" i="1"/>
  <c r="I113" i="1"/>
  <c r="I112" i="1"/>
  <c r="I111" i="1"/>
  <c r="H107" i="1"/>
  <c r="G107" i="1"/>
  <c r="I106" i="1"/>
  <c r="I105" i="1"/>
  <c r="I104" i="1"/>
  <c r="I103" i="1"/>
  <c r="I102" i="1"/>
  <c r="I101" i="1"/>
  <c r="I100" i="1"/>
  <c r="I99" i="1"/>
  <c r="I98" i="1"/>
  <c r="I97" i="1"/>
  <c r="H93" i="1"/>
  <c r="G93" i="1"/>
  <c r="I92" i="1"/>
  <c r="I91" i="1"/>
  <c r="I90" i="1"/>
  <c r="I89" i="1"/>
  <c r="I88" i="1"/>
  <c r="I87" i="1"/>
  <c r="I86" i="1"/>
  <c r="I85" i="1"/>
  <c r="I84" i="1"/>
  <c r="I83" i="1"/>
  <c r="H79" i="1"/>
  <c r="G79" i="1"/>
  <c r="I78" i="1"/>
  <c r="I77" i="1"/>
  <c r="I76" i="1"/>
  <c r="I75" i="1"/>
  <c r="I74" i="1"/>
  <c r="I73" i="1"/>
  <c r="I72" i="1"/>
  <c r="I71" i="1"/>
  <c r="I70" i="1"/>
  <c r="I69" i="1"/>
  <c r="H65" i="1"/>
  <c r="G65" i="1"/>
  <c r="I64" i="1"/>
  <c r="I57" i="1"/>
  <c r="I56" i="1"/>
  <c r="I55" i="1"/>
  <c r="I54" i="1"/>
  <c r="I53" i="1"/>
  <c r="I52" i="1"/>
  <c r="I51" i="1"/>
  <c r="I50" i="1"/>
  <c r="I49" i="1"/>
  <c r="I17" i="1"/>
  <c r="I14" i="1"/>
  <c r="I12" i="1"/>
  <c r="I11" i="1"/>
  <c r="I10" i="1"/>
  <c r="I9" i="1"/>
  <c r="I8" i="1"/>
  <c r="I7" i="1"/>
  <c r="I6" i="1"/>
  <c r="I5" i="1"/>
  <c r="I107" i="1" l="1"/>
  <c r="I45" i="1"/>
  <c r="K4" i="2"/>
  <c r="I65" i="1"/>
  <c r="I79" i="1"/>
  <c r="I93" i="1"/>
  <c r="I12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<sst xmlns="http://schemas.openxmlformats.org/spreadsheetml/2006/main" count="455" uniqueCount="139">
  <si>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</si>
  <si>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</si>
  <si>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</si>
  <si>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</si>
  <si>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</si>
  <si>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</si>
  <si>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</si>
  <si>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</si>
  <si>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</si>
  <si>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</si>
  <si>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</si>
  <si>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</si>
  <si>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</si>
  <si>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</si>
  <si>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</si>
  <si>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</si>
  <si>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t>
  </si>
  <si>
    <t>Max 4 hours tasks</t>
  </si>
  <si>
    <t>Total Hours</t>
  </si>
  <si>
    <t>Week 2</t>
  </si>
  <si>
    <t>[Enter known possible issues that are a risk for you to finish the high level week planning] - if any</t>
  </si>
  <si>
    <t>Week 3</t>
  </si>
  <si>
    <t xml:space="preserve">Week 4 </t>
  </si>
  <si>
    <t xml:space="preserve">Week 5 </t>
  </si>
  <si>
    <t xml:space="preserve">Week 6 </t>
  </si>
  <si>
    <t>lol</t>
  </si>
  <si>
    <t>Week 7</t>
  </si>
  <si>
    <t>Week 8</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</si>
  <si>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</si>
  <si>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</si>
  <si>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</si>
  <si>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</si>
  <si>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</si>
  <si>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</si>
  <si>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</si>
  <si>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</si>
  <si>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</si>
  <si>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</si>
  <si>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</si>
  <si>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</si>
  <si>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</si>
  <si>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Task Status</t>
  </si>
  <si>
    <t>ILO selection</t>
  </si>
  <si>
    <t>Planned</t>
  </si>
  <si>
    <t>Design</t>
  </si>
  <si>
    <t>ILO 0.3</t>
  </si>
  <si>
    <t>Unplanned</t>
  </si>
  <si>
    <t>Meeting</t>
  </si>
  <si>
    <t>ILO 1.5</t>
  </si>
  <si>
    <t>Blocked</t>
  </si>
  <si>
    <t>Programming</t>
  </si>
  <si>
    <t>ILO 2.5</t>
  </si>
  <si>
    <t>In-Progress</t>
  </si>
  <si>
    <t>Research</t>
  </si>
  <si>
    <t>ILO 3.5</t>
  </si>
  <si>
    <t>Done</t>
  </si>
  <si>
    <t>Testing</t>
  </si>
  <si>
    <t>ILO 4.4</t>
  </si>
  <si>
    <t>Delayed</t>
  </si>
  <si>
    <t>Workshop</t>
  </si>
  <si>
    <t>ILO 7.3</t>
  </si>
  <si>
    <t>Cancelled</t>
  </si>
  <si>
    <t>Planning</t>
  </si>
  <si>
    <t>ILO 11.2</t>
  </si>
  <si>
    <t>Evidencing</t>
  </si>
  <si>
    <t>Debugging</t>
  </si>
  <si>
    <t>Lecture</t>
  </si>
  <si>
    <t>Study</t>
  </si>
  <si>
    <t>Distraction</t>
  </si>
  <si>
    <t>Break</t>
  </si>
  <si>
    <t>Read block B information</t>
  </si>
  <si>
    <t>Search for deliverables templates</t>
  </si>
  <si>
    <t>Installing Python Packages</t>
  </si>
  <si>
    <t>Learn about Pandas, NumPy and Matplotlib</t>
  </si>
  <si>
    <t>Watch the "Data Analysis with Python - Full Course for Beginners (Numpy, Pandas, Matplotlib, Seaborn)" video</t>
  </si>
  <si>
    <t>Do the "Hands-on" exercise</t>
  </si>
  <si>
    <t>Do the "Hands-on" exercise 2</t>
  </si>
  <si>
    <t>Block B Kick-off</t>
  </si>
  <si>
    <t>Stand-up meeting</t>
  </si>
  <si>
    <t>Download submission files</t>
  </si>
  <si>
    <t>Fill in WorkLog</t>
  </si>
  <si>
    <t>Put in GitHub repository on my laptop</t>
  </si>
  <si>
    <t>Fill in Learning Log section A</t>
  </si>
  <si>
    <t>Move WorkLog to updated file</t>
  </si>
  <si>
    <t>Did not find it because they weren't given to us yet</t>
  </si>
  <si>
    <t>I could not download "credit.csv"</t>
  </si>
  <si>
    <t xml:space="preserve">I somehow managed to download the file and tried to do the excercises </t>
  </si>
  <si>
    <t>ILO 1.2</t>
  </si>
  <si>
    <t>ILO 2.2</t>
  </si>
  <si>
    <t>ILO 0.2</t>
  </si>
  <si>
    <t>Move Python programs to repository for potential future use</t>
  </si>
  <si>
    <t>Figure out the GitHub PDF problem</t>
  </si>
  <si>
    <t>DataLab Task</t>
  </si>
  <si>
    <t>For some reason, GitHub refuses to show PDFs on my computer, but on other devices it does work. This is meant to try and fix that. POST-TASK EDIT: Seems to be  a problem with GitHub itself and not my device, and there does nto seem to be a solution.</t>
  </si>
  <si>
    <t>0,5 so far</t>
  </si>
  <si>
    <t>Organize block B and block A files</t>
  </si>
  <si>
    <t>What is machine learning?</t>
  </si>
  <si>
    <t>Introduction and overview</t>
  </si>
  <si>
    <t>Types of Machine Learning Systems</t>
  </si>
  <si>
    <t>Challenges of Machine Learning</t>
  </si>
  <si>
    <t>Testing, Validating, and Model Selection</t>
  </si>
  <si>
    <t>Complete “ML-quiz-W1” in brightspace</t>
  </si>
  <si>
    <t>Learn about SQL</t>
  </si>
  <si>
    <t>Install SQL</t>
  </si>
  <si>
    <t>Stand Up Meeting</t>
  </si>
  <si>
    <t>Plan in WorkLog</t>
  </si>
  <si>
    <t>Learn about basic SQL queries</t>
  </si>
  <si>
    <t>Fill in Learning Log week 1</t>
  </si>
  <si>
    <t>EDA with SQL</t>
  </si>
  <si>
    <t>ILO 8.1</t>
  </si>
  <si>
    <t>https://github.com/BredaUniversityADSAI/2024-25b-fai1-adsai-MaksBurchard240894/blob/3b3d71a66f4e9950bc4b200f6428d8d3c5793552/Block%20B/2024-11-21.png</t>
  </si>
  <si>
    <t>Upload files to GitHub for evidencing</t>
  </si>
  <si>
    <t>Evidence week 1</t>
  </si>
  <si>
    <t>SQL Content review session</t>
  </si>
  <si>
    <t>Figure out how to connect to postgres</t>
  </si>
  <si>
    <t>Re-install PostgreSQL to fix problem</t>
  </si>
  <si>
    <t>Was not able to figure out how to fix the problem.</t>
  </si>
  <si>
    <t>Do DataCamp course "Intermediate SQL course"</t>
  </si>
  <si>
    <t>Do DataCamp course "Joining Data in SQL"</t>
  </si>
  <si>
    <t>Set up VPN</t>
  </si>
  <si>
    <t>Does not work at school, have to set up at home.</t>
  </si>
  <si>
    <t>Introduction and Understanding the Problem</t>
  </si>
  <si>
    <t>Data Exploration and Visualization</t>
  </si>
  <si>
    <t>Data Preparation and Feature Engineering</t>
  </si>
  <si>
    <t>Model Selection, Training and Tuning</t>
  </si>
  <si>
    <t>Evaluation, Testing and Deliverables</t>
  </si>
  <si>
    <t>Complete “ML-quiz-W2_1” in brightspace</t>
  </si>
  <si>
    <t>Fill in Learning Log week 2</t>
  </si>
  <si>
    <t>Stand-up meeting Week 2 Datalab 1</t>
  </si>
  <si>
    <t>Re-Install all the Python packages</t>
  </si>
  <si>
    <t>For some reason, VSC didn't see the environment I created last week, so I had to go through the process again.</t>
  </si>
  <si>
    <t>Learn MatPlotLib</t>
  </si>
  <si>
    <t>Learn Seaborn</t>
  </si>
  <si>
    <t>Install Seaborn for a 3rd time</t>
  </si>
  <si>
    <t>Despite installing the package twice already, VSC could not import it.</t>
  </si>
  <si>
    <t>Restart Laptop due to issues</t>
  </si>
  <si>
    <t xml:space="preserve">Some features of my laptop were acting up a bit, so I restarted my pc to fix them. </t>
  </si>
  <si>
    <t>Unfortunately, during this task the annoucement came in, which threw me off my focus and caused this task to take so long.</t>
  </si>
  <si>
    <t>EDA with 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</si>
</sst>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4"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u/>
      <sz val="10"/>
      <color theme="10"/>
      <name val="Arial"/>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2" tint="-9.9978637043366805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2">
    <xf numFmtId="0" fontId="0" fillId="0" borderId="0"/>
    <xf numFmtId="0" fontId="13" fillId="0" borderId="0" applyNumberFormat="0" applyFill="0" applyBorder="0" applyAlignment="0" applyProtection="0"/>
  </cellStyleXfs>
  <cellXfs count="79">
    <xf numFmtId="0" fontId="0" fillId="0" borderId="0" xfId="0"/>
    <xf numFmtId="0" fontId="1" fillId="2" borderId="0" xfId="0" applyFont="1" applyFill="1"/>
    <xf numFmtId="0" fontId="2" fillId="0" borderId="2" xfId="0" applyFont="1" applyBorder="1" applyAlignment="1">
      <alignment horizontal="center"/>
    </xf>
    <xf numFmtId="0" fontId="2" fillId="0" borderId="1" xfId="0" applyFont="1" applyBorder="1" applyAlignment="1">
      <alignment horizontal="center"/>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6" fillId="5" borderId="0" xfId="0" applyFont="1" applyFill="1" applyAlignment="1">
      <alignment horizontal="center" vertical="top"/>
    </xf>
    <xf numFmtId="0" fontId="2" fillId="0" borderId="1" xfId="0" applyFont="1" applyBorder="1"/>
    <xf numFmtId="0" fontId="2" fillId="0" borderId="2" xfId="0" applyFont="1" applyBorder="1" applyAlignment="1">
      <alignment horizontal="center" vertical="top"/>
    </xf>
    <xf numFmtId="165" fontId="8" fillId="0" borderId="6" xfId="0" applyNumberFormat="1" applyFont="1" applyBorder="1" applyAlignment="1">
      <alignment vertical="top"/>
    </xf>
    <xf numFmtId="0" fontId="2" fillId="0" borderId="1" xfId="0" applyFont="1" applyBorder="1" applyAlignment="1">
      <alignment horizontal="center" vertical="top"/>
    </xf>
    <xf numFmtId="0" fontId="8" fillId="0" borderId="6" xfId="0" applyFont="1" applyBorder="1" applyAlignment="1">
      <alignment vertical="top"/>
    </xf>
    <xf numFmtId="0" fontId="6" fillId="0" borderId="0" xfId="0" applyFont="1"/>
    <xf numFmtId="0" fontId="6" fillId="0" borderId="0" xfId="0" applyFont="1" applyAlignment="1">
      <alignment horizontal="center"/>
    </xf>
    <xf numFmtId="0" fontId="8" fillId="0" borderId="6" xfId="0" applyFont="1" applyBorder="1" applyAlignment="1">
      <alignment horizontal="right" vertical="top"/>
    </xf>
    <xf numFmtId="0" fontId="8" fillId="0" borderId="6" xfId="0" applyFont="1" applyBorder="1" applyAlignment="1">
      <alignment horizontal="left" vertical="top"/>
    </xf>
    <xf numFmtId="0" fontId="4" fillId="8" borderId="1" xfId="0" applyFont="1" applyFill="1" applyBorder="1" applyAlignment="1">
      <alignment vertical="center" wrapText="1"/>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8" borderId="3" xfId="0" applyFont="1" applyFill="1" applyBorder="1" applyAlignment="1">
      <alignment vertical="center" wrapText="1"/>
    </xf>
    <xf numFmtId="0" fontId="4" fillId="14" borderId="3" xfId="0" applyFont="1" applyFill="1" applyBorder="1" applyAlignment="1">
      <alignment vertical="center" wrapText="1"/>
    </xf>
    <xf numFmtId="0" fontId="4" fillId="14" borderId="1" xfId="0" applyFont="1" applyFill="1" applyBorder="1" applyAlignment="1">
      <alignment vertical="center" wrapText="1"/>
    </xf>
    <xf numFmtId="0" fontId="3" fillId="2" borderId="0" xfId="0" applyFont="1" applyFill="1" applyAlignment="1">
      <alignment wrapText="1"/>
    </xf>
    <xf numFmtId="0" fontId="3" fillId="2" borderId="0" xfId="0" applyFont="1" applyFill="1" applyAlignment="1">
      <alignment horizontal="center" wrapText="1"/>
    </xf>
    <xf numFmtId="0" fontId="3" fillId="2" borderId="7" xfId="0" applyFont="1" applyFill="1" applyBorder="1" applyAlignment="1">
      <alignment wrapText="1"/>
    </xf>
    <xf numFmtId="164" fontId="8" fillId="0" borderId="0" xfId="0" applyNumberFormat="1" applyFont="1" applyAlignment="1">
      <alignment horizontal="right" vertical="top"/>
    </xf>
    <xf numFmtId="0" fontId="8" fillId="0" borderId="0" xfId="0" applyFont="1" applyAlignment="1">
      <alignment vertical="top"/>
    </xf>
    <xf numFmtId="0" fontId="9"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right" vertical="top"/>
    </xf>
    <xf numFmtId="0" fontId="10" fillId="0" borderId="0" xfId="0" applyFont="1" applyAlignment="1">
      <alignment horizontal="left" vertical="top"/>
    </xf>
    <xf numFmtId="0" fontId="8" fillId="0" borderId="7" xfId="0" applyFont="1" applyBorder="1" applyAlignment="1">
      <alignment vertical="top"/>
    </xf>
    <xf numFmtId="0" fontId="8" fillId="0" borderId="7" xfId="0" applyFont="1" applyBorder="1" applyAlignment="1">
      <alignment vertical="top" wrapText="1"/>
    </xf>
    <xf numFmtId="0" fontId="8" fillId="0" borderId="0" xfId="0" applyFont="1" applyAlignment="1">
      <alignment horizontal="left" vertical="top"/>
    </xf>
    <xf numFmtId="0" fontId="8" fillId="0" borderId="10" xfId="0" applyFont="1" applyBorder="1" applyAlignment="1">
      <alignment vertical="top"/>
    </xf>
    <xf numFmtId="166" fontId="8" fillId="0" borderId="0" xfId="0" applyNumberFormat="1" applyFont="1" applyAlignment="1">
      <alignment horizontal="right" vertical="top"/>
    </xf>
    <xf numFmtId="165" fontId="8" fillId="0" borderId="11" xfId="0" applyNumberFormat="1" applyFont="1" applyBorder="1" applyAlignment="1">
      <alignment vertical="top"/>
    </xf>
    <xf numFmtId="0" fontId="8" fillId="0" borderId="11" xfId="0" applyFont="1" applyBorder="1" applyAlignment="1">
      <alignment vertical="top"/>
    </xf>
    <xf numFmtId="0" fontId="8" fillId="0" borderId="11" xfId="0" applyFont="1" applyBorder="1" applyAlignment="1">
      <alignment horizontal="right" vertical="top"/>
    </xf>
    <xf numFmtId="0" fontId="8" fillId="0" borderId="11" xfId="0" applyFont="1" applyBorder="1" applyAlignment="1">
      <alignment horizontal="left" vertical="top"/>
    </xf>
    <xf numFmtId="0" fontId="8" fillId="0" borderId="12" xfId="0" applyFont="1" applyBorder="1" applyAlignment="1">
      <alignment vertical="top"/>
    </xf>
    <xf numFmtId="0" fontId="13" fillId="0" borderId="0" xfId="1" applyAlignment="1">
      <alignment horizontal="left" vertical="top"/>
    </xf>
    <xf numFmtId="0" fontId="4" fillId="14" borderId="5" xfId="0" applyFont="1" applyFill="1" applyBorder="1" applyAlignment="1">
      <alignment vertical="center" wrapText="1"/>
    </xf>
    <xf numFmtId="0" fontId="5" fillId="14" borderId="2" xfId="0" applyFont="1" applyFill="1" applyBorder="1"/>
    <xf numFmtId="0" fontId="5" fillId="14" borderId="9" xfId="0" applyFont="1" applyFill="1" applyBorder="1"/>
    <xf numFmtId="0" fontId="7" fillId="14" borderId="5" xfId="0" applyFont="1" applyFill="1" applyBorder="1" applyAlignment="1">
      <alignment vertical="center"/>
    </xf>
    <xf numFmtId="0" fontId="4" fillId="3" borderId="3" xfId="0" applyFont="1" applyFill="1" applyBorder="1" applyAlignment="1">
      <alignment horizontal="left" vertical="center" wrapText="1"/>
    </xf>
    <xf numFmtId="0" fontId="5" fillId="0" borderId="3" xfId="0" applyFont="1" applyBorder="1"/>
    <xf numFmtId="0" fontId="5" fillId="0" borderId="8" xfId="0" applyFont="1" applyBorder="1"/>
    <xf numFmtId="0" fontId="7" fillId="3" borderId="5" xfId="0" applyFont="1" applyFill="1" applyBorder="1" applyAlignment="1">
      <alignment vertical="center"/>
    </xf>
    <xf numFmtId="0" fontId="5" fillId="0" borderId="2" xfId="0" applyFont="1" applyBorder="1"/>
    <xf numFmtId="0" fontId="5" fillId="0" borderId="9" xfId="0" applyFont="1" applyBorder="1"/>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3" borderId="5" xfId="0" applyFont="1" applyFill="1" applyBorder="1" applyAlignment="1">
      <alignment vertical="center"/>
    </xf>
    <xf numFmtId="0" fontId="7" fillId="10" borderId="5" xfId="0" applyFont="1" applyFill="1" applyBorder="1" applyAlignment="1">
      <alignment vertical="center"/>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4" fillId="12" borderId="5" xfId="0" applyFont="1" applyFill="1" applyBorder="1" applyAlignment="1">
      <alignment vertical="center" wrapText="1"/>
    </xf>
    <xf numFmtId="0" fontId="11" fillId="6" borderId="0" xfId="0" applyFont="1" applyFill="1" applyAlignment="1">
      <alignment vertical="top" wrapText="1"/>
    </xf>
    <xf numFmtId="0" fontId="0" fillId="0" borderId="0" xfId="0"/>
    <xf numFmtId="0" fontId="5" fillId="7" borderId="0" xfId="0" applyFont="1" applyFill="1" applyAlignment="1">
      <alignment horizontal="center" vertical="center" wrapText="1"/>
    </xf>
  </cellXfs>
  <cellStyles count="2">
    <cellStyle name="Hyperlink" xfId="1" builtinId="8"/>
    <cellStyle name="Normal" xfId="0" builtinId="0"/>
  </cellStyles>
  <dxfs count="16">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BredaUniversityADSAI/2024-25b-fai1-adsai-MaksBurchard240894/blob/3b3d71a66f4e9950bc4b200f6428d8d3c5793552/Block%20B/2024-11-2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149"/>
  <sheetViews>
    <sheetView tabSelected="1" workbookViewId="0">
      <pane ySplit="1" topLeftCell="A46" activePane="bottomLeft" state="frozen"/>
      <selection pane="bottomLeft" activeCell="G63" sqref="G63"/>
    </sheetView>
  </sheetViews>
  <sheetFormatPr defaultColWidth="14.44140625" defaultRowHeight="15" customHeight="1" x14ac:dyDescent="0.25"/>
  <cols>
    <col min="1" max="1" width="9.88671875" customWidth="1"/>
    <col min="2" max="2" width="11.33203125" customWidth="1"/>
    <col min="3" max="3" width="16.33203125" customWidth="1"/>
    <col min="4" max="4" width="43.44140625" customWidth="1"/>
    <col min="5" max="5" width="15.44140625" customWidth="1"/>
    <col min="6" max="6" width="14.88671875" bestFit="1" customWidth="1"/>
    <col min="7" max="7" width="10.109375" bestFit="1" customWidth="1"/>
    <col min="8" max="8" width="10.6640625" bestFit="1" customWidth="1"/>
    <col min="9" max="9" width="6" bestFit="1" customWidth="1"/>
    <col min="10" max="10" width="18.44140625" customWidth="1"/>
    <col min="11" max="11" width="57" customWidth="1"/>
  </cols>
  <sheetData>
    <row r="1" spans="1:11" ht="13.2" x14ac:dyDescent="0.25">
      <c r="A1" s="34" t="s">
        <v>0</v>
      </c>
      <c r="B1" s="34" t="s">
        <v>1</v>
      </c>
      <c r="C1" s="34" t="s">
        <v>2</v>
      </c>
      <c r="D1" s="34" t="s">
        <v>3</v>
      </c>
      <c r="E1" s="35" t="s">
        <v>4</v>
      </c>
      <c r="F1" s="35" t="s">
        <v>5</v>
      </c>
      <c r="G1" s="35" t="s">
        <v>6</v>
      </c>
      <c r="H1" s="35" t="s">
        <v>7</v>
      </c>
      <c r="I1" s="35" t="s">
        <v>8</v>
      </c>
      <c r="J1" s="35" t="s">
        <v>9</v>
      </c>
      <c r="K1" s="36" t="s">
        <v>10</v>
      </c>
    </row>
    <row r="2" spans="1:11" ht="18.75" customHeight="1" x14ac:dyDescent="0.25">
      <c r="A2" s="58" t="s">
        <v>11</v>
      </c>
      <c r="B2" s="59"/>
      <c r="C2" s="59"/>
      <c r="D2" s="59"/>
      <c r="E2" s="59"/>
      <c r="F2" s="59"/>
      <c r="G2" s="59"/>
      <c r="H2" s="59"/>
      <c r="I2" s="59"/>
      <c r="J2" s="59"/>
      <c r="K2" s="60"/>
    </row>
    <row r="3" spans="1:11" ht="13.2" x14ac:dyDescent="0.25">
      <c r="A3" s="5" t="s">
        <v>12</v>
      </c>
      <c r="B3" s="61" t="s">
        <v>13</v>
      </c>
      <c r="C3" s="62"/>
      <c r="D3" s="62"/>
      <c r="E3" s="62"/>
      <c r="F3" s="62"/>
      <c r="G3" s="62"/>
      <c r="H3" s="62"/>
      <c r="I3" s="62"/>
      <c r="J3" s="62"/>
      <c r="K3" s="63"/>
    </row>
    <row r="4" spans="1:11" ht="27.75" customHeight="1" x14ac:dyDescent="0.25">
      <c r="A4" s="8" t="s">
        <v>14</v>
      </c>
      <c r="B4" s="61" t="s">
        <v>15</v>
      </c>
      <c r="C4" s="62"/>
      <c r="D4" s="62"/>
      <c r="E4" s="62"/>
      <c r="F4" s="62"/>
      <c r="G4" s="62"/>
      <c r="H4" s="62"/>
      <c r="I4" s="62"/>
      <c r="J4" s="62"/>
      <c r="K4" s="63"/>
    </row>
    <row r="5" spans="1:11" ht="13.2" x14ac:dyDescent="0.25">
      <c r="A5" s="37">
        <v>45614</v>
      </c>
      <c r="B5" s="38" t="s">
        <v>55</v>
      </c>
      <c r="C5" s="39" t="s">
        <v>17</v>
      </c>
      <c r="D5" s="38" t="s">
        <v>70</v>
      </c>
      <c r="E5" s="40" t="s">
        <v>67</v>
      </c>
      <c r="F5" s="40" t="s">
        <v>87</v>
      </c>
      <c r="G5" s="41">
        <v>0.5</v>
      </c>
      <c r="H5" s="41">
        <v>0.5</v>
      </c>
      <c r="I5" s="41">
        <f t="shared" ref="I5:I45" si="0">H5-G5</f>
        <v>0</v>
      </c>
      <c r="J5" s="42"/>
      <c r="K5" s="43"/>
    </row>
    <row r="6" spans="1:11" ht="13.2" x14ac:dyDescent="0.25">
      <c r="A6" s="37">
        <v>45614</v>
      </c>
      <c r="B6" s="38" t="s">
        <v>55</v>
      </c>
      <c r="C6" s="39" t="s">
        <v>17</v>
      </c>
      <c r="D6" s="38" t="s">
        <v>71</v>
      </c>
      <c r="E6" s="40" t="s">
        <v>53</v>
      </c>
      <c r="F6" s="40" t="s">
        <v>87</v>
      </c>
      <c r="G6" s="41">
        <v>0.1</v>
      </c>
      <c r="H6" s="41">
        <v>0.5</v>
      </c>
      <c r="I6" s="41">
        <f t="shared" si="0"/>
        <v>0.4</v>
      </c>
      <c r="J6" s="42"/>
      <c r="K6" s="44" t="s">
        <v>84</v>
      </c>
    </row>
    <row r="7" spans="1:11" ht="13.2" x14ac:dyDescent="0.25">
      <c r="A7" s="37">
        <v>45614</v>
      </c>
      <c r="B7" s="38" t="s">
        <v>55</v>
      </c>
      <c r="C7" s="39" t="s">
        <v>17</v>
      </c>
      <c r="D7" s="38" t="s">
        <v>72</v>
      </c>
      <c r="E7" s="40" t="s">
        <v>50</v>
      </c>
      <c r="F7" s="40" t="s">
        <v>89</v>
      </c>
      <c r="G7" s="41">
        <v>1</v>
      </c>
      <c r="H7" s="41">
        <v>1</v>
      </c>
      <c r="I7" s="41">
        <f t="shared" si="0"/>
        <v>0</v>
      </c>
      <c r="J7" s="42"/>
      <c r="K7" s="44"/>
    </row>
    <row r="8" spans="1:11" ht="13.2" x14ac:dyDescent="0.25">
      <c r="A8" s="37">
        <v>45614</v>
      </c>
      <c r="B8" s="38" t="s">
        <v>52</v>
      </c>
      <c r="C8" s="39" t="s">
        <v>17</v>
      </c>
      <c r="D8" s="38" t="s">
        <v>73</v>
      </c>
      <c r="E8" s="40" t="s">
        <v>67</v>
      </c>
      <c r="F8" s="40" t="s">
        <v>89</v>
      </c>
      <c r="G8" s="41">
        <v>1.5</v>
      </c>
      <c r="H8" s="41"/>
      <c r="I8" s="41">
        <f t="shared" si="0"/>
        <v>-1.5</v>
      </c>
      <c r="J8" s="42"/>
      <c r="K8" s="44"/>
    </row>
    <row r="9" spans="1:11" ht="13.2" x14ac:dyDescent="0.25">
      <c r="A9" s="37">
        <v>45614</v>
      </c>
      <c r="B9" s="38" t="s">
        <v>52</v>
      </c>
      <c r="C9" s="39" t="s">
        <v>17</v>
      </c>
      <c r="D9" s="38" t="s">
        <v>74</v>
      </c>
      <c r="E9" s="40" t="s">
        <v>67</v>
      </c>
      <c r="F9" s="40" t="s">
        <v>89</v>
      </c>
      <c r="G9" s="41">
        <v>4</v>
      </c>
      <c r="H9" s="41"/>
      <c r="I9" s="41">
        <f t="shared" si="0"/>
        <v>-4</v>
      </c>
      <c r="J9" s="42"/>
      <c r="K9" s="44"/>
    </row>
    <row r="10" spans="1:11" ht="13.2" x14ac:dyDescent="0.25">
      <c r="A10" s="37">
        <v>45614</v>
      </c>
      <c r="B10" s="38" t="s">
        <v>49</v>
      </c>
      <c r="C10" s="39" t="s">
        <v>17</v>
      </c>
      <c r="D10" s="38" t="s">
        <v>75</v>
      </c>
      <c r="E10" s="40" t="s">
        <v>50</v>
      </c>
      <c r="F10" s="40" t="s">
        <v>89</v>
      </c>
      <c r="G10" s="41">
        <v>1</v>
      </c>
      <c r="H10" s="41">
        <v>0.5</v>
      </c>
      <c r="I10" s="41">
        <f t="shared" si="0"/>
        <v>-0.5</v>
      </c>
      <c r="J10" s="45"/>
      <c r="K10" s="44" t="s">
        <v>85</v>
      </c>
    </row>
    <row r="11" spans="1:11" ht="13.2" x14ac:dyDescent="0.25">
      <c r="A11" s="37">
        <v>45614</v>
      </c>
      <c r="B11" s="38" t="s">
        <v>49</v>
      </c>
      <c r="C11" s="39" t="s">
        <v>17</v>
      </c>
      <c r="D11" s="38" t="s">
        <v>76</v>
      </c>
      <c r="E11" s="40" t="s">
        <v>50</v>
      </c>
      <c r="F11" s="40" t="s">
        <v>89</v>
      </c>
      <c r="G11" s="41">
        <v>1</v>
      </c>
      <c r="H11" s="41">
        <v>1</v>
      </c>
      <c r="I11" s="41">
        <f t="shared" si="0"/>
        <v>0</v>
      </c>
      <c r="J11" s="45"/>
      <c r="K11" s="44" t="s">
        <v>86</v>
      </c>
    </row>
    <row r="12" spans="1:11" ht="13.2" x14ac:dyDescent="0.25">
      <c r="A12" s="37">
        <v>45615</v>
      </c>
      <c r="B12" s="38" t="s">
        <v>55</v>
      </c>
      <c r="C12" s="39" t="s">
        <v>17</v>
      </c>
      <c r="D12" s="38" t="s">
        <v>77</v>
      </c>
      <c r="E12" s="40" t="s">
        <v>66</v>
      </c>
      <c r="F12" s="40" t="s">
        <v>87</v>
      </c>
      <c r="G12" s="41">
        <v>1.5</v>
      </c>
      <c r="H12" s="41">
        <v>1.25</v>
      </c>
      <c r="I12" s="41">
        <f t="shared" si="0"/>
        <v>-0.25</v>
      </c>
      <c r="J12" s="45"/>
      <c r="K12" s="44"/>
    </row>
    <row r="13" spans="1:11" ht="13.2" x14ac:dyDescent="0.25">
      <c r="A13" s="37">
        <v>45615</v>
      </c>
      <c r="B13" s="38" t="s">
        <v>55</v>
      </c>
      <c r="C13" s="39" t="s">
        <v>17</v>
      </c>
      <c r="D13" s="38" t="s">
        <v>78</v>
      </c>
      <c r="E13" s="40" t="s">
        <v>47</v>
      </c>
      <c r="F13" s="40" t="s">
        <v>88</v>
      </c>
      <c r="G13" s="41">
        <v>0.25</v>
      </c>
      <c r="H13" s="41">
        <v>0.25</v>
      </c>
      <c r="I13" s="41">
        <f t="shared" si="0"/>
        <v>0</v>
      </c>
      <c r="J13" s="45"/>
      <c r="K13" s="44"/>
    </row>
    <row r="14" spans="1:11" ht="13.2" x14ac:dyDescent="0.25">
      <c r="A14" s="37">
        <v>45615</v>
      </c>
      <c r="B14" s="38" t="s">
        <v>55</v>
      </c>
      <c r="C14" s="39" t="s">
        <v>17</v>
      </c>
      <c r="D14" s="38" t="s">
        <v>79</v>
      </c>
      <c r="E14" s="40" t="s">
        <v>67</v>
      </c>
      <c r="F14" s="40" t="s">
        <v>87</v>
      </c>
      <c r="G14" s="41">
        <v>0.25</v>
      </c>
      <c r="H14" s="41">
        <v>0.25</v>
      </c>
      <c r="I14" s="41">
        <f t="shared" si="0"/>
        <v>0</v>
      </c>
      <c r="J14" s="45"/>
      <c r="K14" s="44"/>
    </row>
    <row r="15" spans="1:11" ht="13.2" x14ac:dyDescent="0.25">
      <c r="A15" s="37">
        <v>45615</v>
      </c>
      <c r="B15" s="38" t="s">
        <v>55</v>
      </c>
      <c r="C15" s="39" t="s">
        <v>17</v>
      </c>
      <c r="D15" s="38" t="s">
        <v>80</v>
      </c>
      <c r="E15" s="40" t="s">
        <v>64</v>
      </c>
      <c r="F15" s="40" t="s">
        <v>87</v>
      </c>
      <c r="G15" s="41">
        <v>0.25</v>
      </c>
      <c r="H15" s="41">
        <v>0.25</v>
      </c>
      <c r="I15" s="41">
        <f t="shared" si="0"/>
        <v>0</v>
      </c>
      <c r="J15" s="45"/>
      <c r="K15" s="44"/>
    </row>
    <row r="16" spans="1:11" ht="13.2" x14ac:dyDescent="0.25">
      <c r="A16" s="37">
        <v>45615</v>
      </c>
      <c r="B16" s="38" t="s">
        <v>55</v>
      </c>
      <c r="C16" s="39" t="s">
        <v>17</v>
      </c>
      <c r="D16" s="38" t="s">
        <v>81</v>
      </c>
      <c r="E16" s="40" t="s">
        <v>64</v>
      </c>
      <c r="F16" s="40" t="s">
        <v>87</v>
      </c>
      <c r="G16" s="41">
        <v>0.25</v>
      </c>
      <c r="H16" s="41">
        <v>0.25</v>
      </c>
      <c r="I16" s="41">
        <f t="shared" si="0"/>
        <v>0</v>
      </c>
      <c r="J16" s="45"/>
      <c r="K16" s="44"/>
    </row>
    <row r="17" spans="1:11" ht="13.2" x14ac:dyDescent="0.25">
      <c r="A17" s="37">
        <v>45615</v>
      </c>
      <c r="B17" s="38" t="s">
        <v>52</v>
      </c>
      <c r="C17" s="39" t="s">
        <v>17</v>
      </c>
      <c r="D17" s="38" t="s">
        <v>82</v>
      </c>
      <c r="E17" s="40" t="s">
        <v>62</v>
      </c>
      <c r="F17" s="40" t="s">
        <v>88</v>
      </c>
      <c r="G17" s="41">
        <v>0.5</v>
      </c>
      <c r="H17" s="41"/>
      <c r="I17" s="41">
        <f t="shared" si="0"/>
        <v>-0.5</v>
      </c>
      <c r="J17" s="45"/>
      <c r="K17" s="44"/>
    </row>
    <row r="18" spans="1:11" ht="13.2" x14ac:dyDescent="0.25">
      <c r="A18" s="37">
        <v>45615</v>
      </c>
      <c r="B18" s="38" t="s">
        <v>55</v>
      </c>
      <c r="C18" s="39" t="s">
        <v>17</v>
      </c>
      <c r="D18" s="38" t="s">
        <v>83</v>
      </c>
      <c r="E18" s="40" t="s">
        <v>64</v>
      </c>
      <c r="F18" s="40" t="s">
        <v>87</v>
      </c>
      <c r="G18" s="41">
        <v>0.25</v>
      </c>
      <c r="H18" s="41">
        <v>0.25</v>
      </c>
      <c r="I18" s="41">
        <f t="shared" si="0"/>
        <v>0</v>
      </c>
      <c r="J18" s="45"/>
      <c r="K18" s="44"/>
    </row>
    <row r="19" spans="1:11" ht="13.2" x14ac:dyDescent="0.25">
      <c r="A19" s="37">
        <v>45615</v>
      </c>
      <c r="B19" s="38" t="s">
        <v>55</v>
      </c>
      <c r="C19" s="39" t="s">
        <v>17</v>
      </c>
      <c r="D19" s="38" t="s">
        <v>90</v>
      </c>
      <c r="E19" s="40" t="s">
        <v>50</v>
      </c>
      <c r="F19" s="40" t="s">
        <v>89</v>
      </c>
      <c r="G19" s="41">
        <v>0.25</v>
      </c>
      <c r="H19" s="41">
        <v>0.25</v>
      </c>
      <c r="I19" s="41">
        <f t="shared" si="0"/>
        <v>0</v>
      </c>
      <c r="J19" s="45"/>
      <c r="K19" s="44"/>
    </row>
    <row r="20" spans="1:11" ht="48" x14ac:dyDescent="0.25">
      <c r="A20" s="37">
        <v>45615</v>
      </c>
      <c r="B20" s="38" t="s">
        <v>49</v>
      </c>
      <c r="C20" s="39" t="s">
        <v>17</v>
      </c>
      <c r="D20" s="38" t="s">
        <v>91</v>
      </c>
      <c r="E20" s="40" t="s">
        <v>65</v>
      </c>
      <c r="F20" s="40" t="s">
        <v>87</v>
      </c>
      <c r="G20" s="41">
        <v>0.5</v>
      </c>
      <c r="H20" s="41">
        <v>0.5</v>
      </c>
      <c r="I20" s="41">
        <f t="shared" si="0"/>
        <v>0</v>
      </c>
      <c r="J20" s="45"/>
      <c r="K20" s="44" t="s">
        <v>93</v>
      </c>
    </row>
    <row r="21" spans="1:11" ht="13.2" x14ac:dyDescent="0.25">
      <c r="A21" s="37">
        <v>45615</v>
      </c>
      <c r="B21" s="38" t="s">
        <v>43</v>
      </c>
      <c r="C21" s="39" t="s">
        <v>17</v>
      </c>
      <c r="D21" s="38" t="s">
        <v>92</v>
      </c>
      <c r="E21" s="40" t="s">
        <v>50</v>
      </c>
      <c r="F21" s="40" t="s">
        <v>89</v>
      </c>
      <c r="G21" s="41">
        <v>3</v>
      </c>
      <c r="H21" s="41"/>
      <c r="I21" s="41">
        <f t="shared" si="0"/>
        <v>-3</v>
      </c>
      <c r="J21" s="45"/>
      <c r="K21" s="44" t="s">
        <v>94</v>
      </c>
    </row>
    <row r="22" spans="1:11" ht="13.2" x14ac:dyDescent="0.25">
      <c r="A22" s="37">
        <v>45615</v>
      </c>
      <c r="B22" s="38" t="s">
        <v>55</v>
      </c>
      <c r="C22" s="39" t="s">
        <v>17</v>
      </c>
      <c r="D22" s="38" t="s">
        <v>95</v>
      </c>
      <c r="E22" s="40" t="s">
        <v>64</v>
      </c>
      <c r="F22" s="40" t="s">
        <v>87</v>
      </c>
      <c r="G22" s="41">
        <v>0.5</v>
      </c>
      <c r="H22" s="41">
        <v>0.5</v>
      </c>
      <c r="I22" s="41">
        <f t="shared" si="0"/>
        <v>0</v>
      </c>
      <c r="J22" s="45"/>
      <c r="K22" s="44"/>
    </row>
    <row r="23" spans="1:11" ht="13.2" x14ac:dyDescent="0.25">
      <c r="A23" s="37">
        <v>45617</v>
      </c>
      <c r="B23" s="38" t="s">
        <v>55</v>
      </c>
      <c r="C23" s="39" t="s">
        <v>17</v>
      </c>
      <c r="D23" s="38" t="s">
        <v>80</v>
      </c>
      <c r="E23" s="40" t="s">
        <v>62</v>
      </c>
      <c r="F23" s="40" t="s">
        <v>87</v>
      </c>
      <c r="G23" s="41">
        <v>0.25</v>
      </c>
      <c r="H23" s="41">
        <v>0.25</v>
      </c>
      <c r="I23" s="41">
        <f t="shared" si="0"/>
        <v>0</v>
      </c>
      <c r="J23" s="45"/>
      <c r="K23" s="44"/>
    </row>
    <row r="24" spans="1:11" ht="13.2" x14ac:dyDescent="0.25">
      <c r="A24" s="37">
        <v>45617</v>
      </c>
      <c r="B24" s="38" t="s">
        <v>55</v>
      </c>
      <c r="C24" s="39" t="s">
        <v>17</v>
      </c>
      <c r="D24" s="38" t="s">
        <v>97</v>
      </c>
      <c r="E24" s="40" t="s">
        <v>67</v>
      </c>
      <c r="F24" s="40" t="s">
        <v>109</v>
      </c>
      <c r="G24" s="41">
        <v>1</v>
      </c>
      <c r="H24" s="41">
        <v>1</v>
      </c>
      <c r="I24" s="41">
        <f t="shared" si="0"/>
        <v>0</v>
      </c>
      <c r="J24" s="45"/>
      <c r="K24" s="44"/>
    </row>
    <row r="25" spans="1:11" ht="13.2" x14ac:dyDescent="0.25">
      <c r="A25" s="37">
        <v>45617</v>
      </c>
      <c r="B25" s="38" t="s">
        <v>55</v>
      </c>
      <c r="C25" s="39" t="s">
        <v>17</v>
      </c>
      <c r="D25" s="38" t="s">
        <v>96</v>
      </c>
      <c r="E25" s="40" t="s">
        <v>67</v>
      </c>
      <c r="F25" s="40" t="s">
        <v>109</v>
      </c>
      <c r="G25" s="41">
        <v>1</v>
      </c>
      <c r="H25" s="41">
        <v>1</v>
      </c>
      <c r="I25" s="41">
        <f t="shared" si="0"/>
        <v>0</v>
      </c>
      <c r="J25" s="45"/>
      <c r="K25" s="44"/>
    </row>
    <row r="26" spans="1:11" ht="13.2" x14ac:dyDescent="0.25">
      <c r="A26" s="37">
        <v>45617</v>
      </c>
      <c r="B26" s="38" t="s">
        <v>55</v>
      </c>
      <c r="C26" s="39" t="s">
        <v>17</v>
      </c>
      <c r="D26" s="38" t="s">
        <v>98</v>
      </c>
      <c r="E26" s="40" t="s">
        <v>67</v>
      </c>
      <c r="F26" s="40" t="s">
        <v>109</v>
      </c>
      <c r="G26" s="41">
        <v>2</v>
      </c>
      <c r="H26" s="41">
        <v>2</v>
      </c>
      <c r="I26" s="41">
        <f t="shared" si="0"/>
        <v>0</v>
      </c>
      <c r="J26" s="45"/>
      <c r="K26" s="44"/>
    </row>
    <row r="27" spans="1:11" ht="13.2" x14ac:dyDescent="0.25">
      <c r="A27" s="37">
        <v>45617</v>
      </c>
      <c r="B27" s="38" t="s">
        <v>55</v>
      </c>
      <c r="C27" s="39" t="s">
        <v>17</v>
      </c>
      <c r="D27" s="38" t="s">
        <v>99</v>
      </c>
      <c r="E27" s="40" t="s">
        <v>67</v>
      </c>
      <c r="F27" s="40" t="s">
        <v>109</v>
      </c>
      <c r="G27" s="41">
        <v>2</v>
      </c>
      <c r="H27" s="41">
        <v>2</v>
      </c>
      <c r="I27" s="41">
        <f t="shared" si="0"/>
        <v>0</v>
      </c>
      <c r="J27" s="45"/>
      <c r="K27" s="44"/>
    </row>
    <row r="28" spans="1:11" ht="13.2" x14ac:dyDescent="0.25">
      <c r="A28" s="37">
        <v>45617</v>
      </c>
      <c r="B28" s="38" t="s">
        <v>55</v>
      </c>
      <c r="C28" s="39" t="s">
        <v>17</v>
      </c>
      <c r="D28" s="38" t="s">
        <v>100</v>
      </c>
      <c r="E28" s="40" t="s">
        <v>67</v>
      </c>
      <c r="F28" s="40" t="s">
        <v>109</v>
      </c>
      <c r="G28" s="41">
        <v>1</v>
      </c>
      <c r="H28" s="41">
        <v>1</v>
      </c>
      <c r="I28" s="41">
        <f t="shared" si="0"/>
        <v>0</v>
      </c>
      <c r="J28" s="45"/>
      <c r="K28" s="44"/>
    </row>
    <row r="29" spans="1:11" ht="13.2" x14ac:dyDescent="0.25">
      <c r="A29" s="37">
        <v>45617</v>
      </c>
      <c r="B29" s="38" t="s">
        <v>55</v>
      </c>
      <c r="C29" s="39" t="s">
        <v>17</v>
      </c>
      <c r="D29" s="38" t="s">
        <v>101</v>
      </c>
      <c r="E29" s="40" t="s">
        <v>56</v>
      </c>
      <c r="F29" s="40" t="s">
        <v>109</v>
      </c>
      <c r="G29" s="41">
        <v>1</v>
      </c>
      <c r="H29" s="41">
        <v>0.5</v>
      </c>
      <c r="I29" s="41">
        <f t="shared" si="0"/>
        <v>-0.5</v>
      </c>
      <c r="J29" s="53" t="s">
        <v>110</v>
      </c>
      <c r="K29" s="44"/>
    </row>
    <row r="30" spans="1:11" ht="13.2" x14ac:dyDescent="0.25">
      <c r="A30" s="37">
        <v>45617</v>
      </c>
      <c r="B30" s="38" t="s">
        <v>55</v>
      </c>
      <c r="C30" s="39" t="s">
        <v>17</v>
      </c>
      <c r="D30" s="38" t="s">
        <v>111</v>
      </c>
      <c r="E30" s="40" t="s">
        <v>64</v>
      </c>
      <c r="F30" s="40" t="s">
        <v>87</v>
      </c>
      <c r="G30" s="41">
        <v>0.5</v>
      </c>
      <c r="H30" s="41">
        <v>0.5</v>
      </c>
      <c r="I30" s="41">
        <f t="shared" si="0"/>
        <v>0</v>
      </c>
      <c r="J30" s="45"/>
      <c r="K30" s="44"/>
    </row>
    <row r="31" spans="1:11" ht="13.2" x14ac:dyDescent="0.25">
      <c r="A31" s="37">
        <v>45618</v>
      </c>
      <c r="B31" s="38" t="s">
        <v>55</v>
      </c>
      <c r="C31" s="39" t="s">
        <v>17</v>
      </c>
      <c r="D31" s="38" t="s">
        <v>105</v>
      </c>
      <c r="E31" s="40" t="s">
        <v>62</v>
      </c>
      <c r="F31" s="40" t="s">
        <v>87</v>
      </c>
      <c r="G31" s="41">
        <v>0.25</v>
      </c>
      <c r="H31" s="41">
        <v>0.25</v>
      </c>
      <c r="I31" s="41">
        <f t="shared" si="0"/>
        <v>0</v>
      </c>
      <c r="J31" s="45"/>
      <c r="K31" s="44"/>
    </row>
    <row r="32" spans="1:11" ht="13.2" x14ac:dyDescent="0.25">
      <c r="A32" s="37">
        <v>45618</v>
      </c>
      <c r="B32" s="38" t="s">
        <v>55</v>
      </c>
      <c r="C32" s="39" t="s">
        <v>17</v>
      </c>
      <c r="D32" s="38" t="s">
        <v>104</v>
      </c>
      <c r="E32" s="40" t="s">
        <v>47</v>
      </c>
      <c r="F32" s="40" t="s">
        <v>87</v>
      </c>
      <c r="G32" s="41">
        <v>0.25</v>
      </c>
      <c r="H32" s="41">
        <v>0.25</v>
      </c>
      <c r="I32" s="41">
        <f t="shared" si="0"/>
        <v>0</v>
      </c>
      <c r="J32" s="45"/>
      <c r="K32" s="44"/>
    </row>
    <row r="33" spans="1:11" ht="13.2" x14ac:dyDescent="0.25">
      <c r="A33" s="37">
        <v>45618</v>
      </c>
      <c r="B33" s="38" t="s">
        <v>55</v>
      </c>
      <c r="C33" s="39" t="s">
        <v>17</v>
      </c>
      <c r="D33" s="38" t="s">
        <v>113</v>
      </c>
      <c r="E33" s="40" t="s">
        <v>47</v>
      </c>
      <c r="F33" s="40" t="s">
        <v>109</v>
      </c>
      <c r="G33" s="41">
        <v>1</v>
      </c>
      <c r="H33" s="41">
        <v>1</v>
      </c>
      <c r="I33" s="41">
        <f t="shared" si="0"/>
        <v>0</v>
      </c>
      <c r="J33" s="45"/>
      <c r="K33" s="44"/>
    </row>
    <row r="34" spans="1:11" ht="13.2" x14ac:dyDescent="0.25">
      <c r="A34" s="37">
        <v>45618</v>
      </c>
      <c r="B34" s="38" t="s">
        <v>52</v>
      </c>
      <c r="C34" s="39" t="s">
        <v>17</v>
      </c>
      <c r="D34" s="38" t="s">
        <v>102</v>
      </c>
      <c r="E34" s="40" t="s">
        <v>67</v>
      </c>
      <c r="F34" s="40" t="s">
        <v>109</v>
      </c>
      <c r="G34" s="41">
        <v>0.5</v>
      </c>
      <c r="H34" s="41">
        <v>0.5</v>
      </c>
      <c r="I34" s="41">
        <f t="shared" si="0"/>
        <v>0</v>
      </c>
      <c r="J34" s="45"/>
      <c r="K34" s="44"/>
    </row>
    <row r="35" spans="1:11" ht="13.2" x14ac:dyDescent="0.25">
      <c r="A35" s="37">
        <v>45618</v>
      </c>
      <c r="B35" s="38" t="s">
        <v>55</v>
      </c>
      <c r="C35" s="39" t="s">
        <v>17</v>
      </c>
      <c r="D35" s="38" t="s">
        <v>103</v>
      </c>
      <c r="E35" s="40" t="s">
        <v>50</v>
      </c>
      <c r="F35" s="40" t="s">
        <v>109</v>
      </c>
      <c r="G35" s="41">
        <v>1</v>
      </c>
      <c r="H35" s="41">
        <v>1</v>
      </c>
      <c r="I35" s="41">
        <f t="shared" si="0"/>
        <v>0</v>
      </c>
      <c r="J35" s="45"/>
      <c r="K35" s="44"/>
    </row>
    <row r="36" spans="1:11" ht="13.2" x14ac:dyDescent="0.25">
      <c r="A36" s="37">
        <v>45618</v>
      </c>
      <c r="B36" s="38" t="s">
        <v>49</v>
      </c>
      <c r="C36" s="39" t="s">
        <v>17</v>
      </c>
      <c r="D36" s="38" t="s">
        <v>114</v>
      </c>
      <c r="E36" s="40" t="s">
        <v>53</v>
      </c>
      <c r="F36" s="40" t="s">
        <v>109</v>
      </c>
      <c r="G36" s="41">
        <v>0.5</v>
      </c>
      <c r="H36" s="41">
        <v>0.5</v>
      </c>
      <c r="I36" s="41">
        <f t="shared" si="0"/>
        <v>0</v>
      </c>
      <c r="J36" s="45"/>
      <c r="K36" s="44" t="s">
        <v>116</v>
      </c>
    </row>
    <row r="37" spans="1:11" ht="13.2" x14ac:dyDescent="0.25">
      <c r="A37" s="37">
        <v>45618</v>
      </c>
      <c r="B37" s="38" t="s">
        <v>55</v>
      </c>
      <c r="C37" s="39" t="s">
        <v>17</v>
      </c>
      <c r="D37" s="38" t="s">
        <v>115</v>
      </c>
      <c r="E37" s="40" t="s">
        <v>50</v>
      </c>
      <c r="F37" s="40" t="s">
        <v>109</v>
      </c>
      <c r="G37" s="41">
        <v>1</v>
      </c>
      <c r="H37" s="41">
        <v>1</v>
      </c>
      <c r="I37" s="41">
        <f t="shared" si="0"/>
        <v>0</v>
      </c>
      <c r="J37" s="45"/>
      <c r="K37" s="44"/>
    </row>
    <row r="38" spans="1:11" ht="13.2" x14ac:dyDescent="0.25">
      <c r="A38" s="37">
        <v>45618</v>
      </c>
      <c r="B38" s="38" t="s">
        <v>55</v>
      </c>
      <c r="C38" s="39" t="s">
        <v>17</v>
      </c>
      <c r="D38" s="38" t="s">
        <v>106</v>
      </c>
      <c r="E38" s="40" t="s">
        <v>50</v>
      </c>
      <c r="F38" s="40" t="s">
        <v>109</v>
      </c>
      <c r="G38" s="41">
        <v>1</v>
      </c>
      <c r="H38" s="41">
        <v>1</v>
      </c>
      <c r="I38" s="41">
        <f t="shared" si="0"/>
        <v>0</v>
      </c>
      <c r="J38" s="45"/>
      <c r="K38" s="44"/>
    </row>
    <row r="39" spans="1:11" ht="13.2" x14ac:dyDescent="0.25">
      <c r="A39" s="37">
        <v>45618</v>
      </c>
      <c r="B39" s="38" t="s">
        <v>58</v>
      </c>
      <c r="C39" s="39" t="s">
        <v>17</v>
      </c>
      <c r="D39" s="38" t="s">
        <v>119</v>
      </c>
      <c r="E39" s="40" t="s">
        <v>50</v>
      </c>
      <c r="F39" s="40" t="s">
        <v>109</v>
      </c>
      <c r="G39" s="41">
        <v>1</v>
      </c>
      <c r="H39" s="41"/>
      <c r="I39" s="41">
        <f t="shared" si="0"/>
        <v>-1</v>
      </c>
      <c r="J39" s="45"/>
      <c r="K39" s="44" t="s">
        <v>120</v>
      </c>
    </row>
    <row r="40" spans="1:11" ht="13.2" x14ac:dyDescent="0.25">
      <c r="A40" s="37">
        <v>45618</v>
      </c>
      <c r="B40" s="38" t="s">
        <v>43</v>
      </c>
      <c r="C40" s="39" t="s">
        <v>17</v>
      </c>
      <c r="D40" s="38" t="s">
        <v>108</v>
      </c>
      <c r="E40" s="40" t="s">
        <v>50</v>
      </c>
      <c r="F40" s="40" t="s">
        <v>109</v>
      </c>
      <c r="G40" s="41">
        <v>4</v>
      </c>
      <c r="H40" s="41"/>
      <c r="I40" s="41">
        <f t="shared" si="0"/>
        <v>-4</v>
      </c>
      <c r="J40" s="45"/>
      <c r="K40" s="44"/>
    </row>
    <row r="41" spans="1:11" ht="13.2" x14ac:dyDescent="0.25">
      <c r="A41" s="37"/>
      <c r="B41" s="38" t="s">
        <v>43</v>
      </c>
      <c r="C41" s="39" t="s">
        <v>17</v>
      </c>
      <c r="D41" s="38" t="s">
        <v>117</v>
      </c>
      <c r="E41" s="40" t="s">
        <v>59</v>
      </c>
      <c r="F41" s="40" t="s">
        <v>109</v>
      </c>
      <c r="G41" s="41">
        <v>4</v>
      </c>
      <c r="H41" s="41"/>
      <c r="I41" s="41">
        <f t="shared" si="0"/>
        <v>-4</v>
      </c>
      <c r="J41" s="45"/>
      <c r="K41" s="44"/>
    </row>
    <row r="42" spans="1:11" ht="13.2" x14ac:dyDescent="0.25">
      <c r="A42" s="37"/>
      <c r="B42" s="38" t="s">
        <v>43</v>
      </c>
      <c r="C42" s="39" t="s">
        <v>17</v>
      </c>
      <c r="D42" s="38" t="s">
        <v>118</v>
      </c>
      <c r="E42" s="40" t="s">
        <v>59</v>
      </c>
      <c r="F42" s="40" t="s">
        <v>109</v>
      </c>
      <c r="G42" s="41">
        <v>4</v>
      </c>
      <c r="H42" s="41"/>
      <c r="I42" s="41">
        <f t="shared" si="0"/>
        <v>-4</v>
      </c>
      <c r="J42" s="45"/>
      <c r="K42" s="44"/>
    </row>
    <row r="43" spans="1:11" ht="13.2" x14ac:dyDescent="0.25">
      <c r="A43" s="37"/>
      <c r="B43" s="38" t="s">
        <v>43</v>
      </c>
      <c r="C43" s="39" t="s">
        <v>17</v>
      </c>
      <c r="D43" s="38" t="s">
        <v>112</v>
      </c>
      <c r="E43" s="40" t="s">
        <v>64</v>
      </c>
      <c r="F43" s="40" t="s">
        <v>87</v>
      </c>
      <c r="G43" s="41">
        <v>0.5</v>
      </c>
      <c r="H43" s="41"/>
      <c r="I43" s="41">
        <f t="shared" si="0"/>
        <v>-0.5</v>
      </c>
      <c r="J43" s="45"/>
      <c r="K43" s="44"/>
    </row>
    <row r="44" spans="1:11" ht="13.2" x14ac:dyDescent="0.25">
      <c r="A44" s="37"/>
      <c r="B44" s="38" t="s">
        <v>43</v>
      </c>
      <c r="C44" s="39" t="s">
        <v>17</v>
      </c>
      <c r="D44" s="38" t="s">
        <v>107</v>
      </c>
      <c r="E44" s="40" t="s">
        <v>64</v>
      </c>
      <c r="F44" s="40" t="s">
        <v>88</v>
      </c>
      <c r="G44" s="41">
        <v>0.5</v>
      </c>
      <c r="H44" s="41"/>
      <c r="I44" s="41">
        <f t="shared" si="0"/>
        <v>-0.5</v>
      </c>
      <c r="J44" s="45"/>
      <c r="K44" s="44"/>
    </row>
    <row r="45" spans="1:11" ht="13.2" x14ac:dyDescent="0.25">
      <c r="A45" s="13"/>
      <c r="B45" s="15"/>
      <c r="C45" s="15"/>
      <c r="D45" s="15"/>
      <c r="E45" s="15" t="s">
        <v>18</v>
      </c>
      <c r="F45" s="15"/>
      <c r="G45" s="18">
        <f>SUM(G5:G44)</f>
        <v>44.85</v>
      </c>
      <c r="H45" s="18">
        <f>SUM(H5:H44)</f>
        <v>21</v>
      </c>
      <c r="I45" s="18">
        <f t="shared" si="0"/>
        <v>-23.85</v>
      </c>
      <c r="J45" s="19"/>
      <c r="K45" s="46"/>
    </row>
    <row r="46" spans="1:11" ht="18.75" customHeight="1" x14ac:dyDescent="0.25">
      <c r="A46" s="64" t="s">
        <v>19</v>
      </c>
      <c r="B46" s="59"/>
      <c r="C46" s="59"/>
      <c r="D46" s="59"/>
      <c r="E46" s="59"/>
      <c r="F46" s="59"/>
      <c r="G46" s="59"/>
      <c r="H46" s="59"/>
      <c r="I46" s="59"/>
      <c r="J46" s="59"/>
      <c r="K46" s="60"/>
    </row>
    <row r="47" spans="1:11" ht="13.2" x14ac:dyDescent="0.25">
      <c r="A47" s="31" t="s">
        <v>12</v>
      </c>
      <c r="B47" s="65" t="s">
        <v>13</v>
      </c>
      <c r="C47" s="62"/>
      <c r="D47" s="62"/>
      <c r="E47" s="62"/>
      <c r="F47" s="62"/>
      <c r="G47" s="62"/>
      <c r="H47" s="62"/>
      <c r="I47" s="62"/>
      <c r="J47" s="62"/>
      <c r="K47" s="63"/>
    </row>
    <row r="48" spans="1:11" ht="27.75" customHeight="1" x14ac:dyDescent="0.25">
      <c r="A48" s="20" t="s">
        <v>14</v>
      </c>
      <c r="B48" s="65" t="s">
        <v>20</v>
      </c>
      <c r="C48" s="62"/>
      <c r="D48" s="62"/>
      <c r="E48" s="62"/>
      <c r="F48" s="62"/>
      <c r="G48" s="62"/>
      <c r="H48" s="62"/>
      <c r="I48" s="62"/>
      <c r="J48" s="62"/>
      <c r="K48" s="63"/>
    </row>
    <row r="49" spans="1:11" ht="13.2" x14ac:dyDescent="0.25">
      <c r="A49" s="47">
        <v>45621</v>
      </c>
      <c r="B49" s="38" t="s">
        <v>55</v>
      </c>
      <c r="C49" s="39" t="s">
        <v>17</v>
      </c>
      <c r="D49" s="38" t="s">
        <v>80</v>
      </c>
      <c r="E49" s="40" t="s">
        <v>64</v>
      </c>
      <c r="F49" s="40" t="s">
        <v>87</v>
      </c>
      <c r="G49" s="41">
        <v>0.5</v>
      </c>
      <c r="H49" s="41">
        <v>0.5</v>
      </c>
      <c r="I49" s="41">
        <f t="shared" ref="I49:I65" si="1">H49-G49</f>
        <v>0</v>
      </c>
      <c r="J49" s="45"/>
      <c r="K49" s="43"/>
    </row>
    <row r="50" spans="1:11" ht="13.2" x14ac:dyDescent="0.25">
      <c r="A50" s="47">
        <v>45621</v>
      </c>
      <c r="B50" s="38" t="s">
        <v>55</v>
      </c>
      <c r="C50" s="39" t="s">
        <v>17</v>
      </c>
      <c r="D50" s="38" t="s">
        <v>121</v>
      </c>
      <c r="E50" s="40" t="s">
        <v>67</v>
      </c>
      <c r="F50" s="40" t="s">
        <v>109</v>
      </c>
      <c r="G50" s="41">
        <v>1</v>
      </c>
      <c r="H50" s="41">
        <v>1</v>
      </c>
      <c r="I50" s="41">
        <f t="shared" si="1"/>
        <v>0</v>
      </c>
      <c r="J50" s="45"/>
      <c r="K50" s="43"/>
    </row>
    <row r="51" spans="1:11" ht="13.2" x14ac:dyDescent="0.25">
      <c r="A51" s="47">
        <v>45621</v>
      </c>
      <c r="B51" s="38" t="s">
        <v>55</v>
      </c>
      <c r="C51" s="39" t="s">
        <v>17</v>
      </c>
      <c r="D51" s="38" t="s">
        <v>122</v>
      </c>
      <c r="E51" s="40" t="s">
        <v>67</v>
      </c>
      <c r="F51" s="40" t="s">
        <v>109</v>
      </c>
      <c r="G51" s="41">
        <v>2</v>
      </c>
      <c r="H51" s="41">
        <v>2</v>
      </c>
      <c r="I51" s="41">
        <f t="shared" si="1"/>
        <v>0</v>
      </c>
      <c r="J51" s="45"/>
      <c r="K51" s="43"/>
    </row>
    <row r="52" spans="1:11" ht="13.2" x14ac:dyDescent="0.25">
      <c r="A52" s="47">
        <v>45621</v>
      </c>
      <c r="B52" s="38" t="s">
        <v>55</v>
      </c>
      <c r="C52" s="39" t="s">
        <v>17</v>
      </c>
      <c r="D52" s="38" t="s">
        <v>123</v>
      </c>
      <c r="E52" s="40" t="s">
        <v>67</v>
      </c>
      <c r="F52" s="40" t="s">
        <v>109</v>
      </c>
      <c r="G52" s="41">
        <v>2</v>
      </c>
      <c r="H52" s="41">
        <v>2</v>
      </c>
      <c r="I52" s="41">
        <f t="shared" si="1"/>
        <v>0</v>
      </c>
      <c r="J52" s="45"/>
      <c r="K52" s="43"/>
    </row>
    <row r="53" spans="1:11" ht="13.2" x14ac:dyDescent="0.25">
      <c r="A53" s="47">
        <v>45621</v>
      </c>
      <c r="B53" s="38" t="s">
        <v>55</v>
      </c>
      <c r="C53" s="39" t="s">
        <v>17</v>
      </c>
      <c r="D53" s="38" t="s">
        <v>124</v>
      </c>
      <c r="E53" s="40" t="s">
        <v>67</v>
      </c>
      <c r="F53" s="40" t="s">
        <v>109</v>
      </c>
      <c r="G53" s="41">
        <v>1.5</v>
      </c>
      <c r="H53" s="41">
        <v>1.5</v>
      </c>
      <c r="I53" s="41">
        <f t="shared" si="1"/>
        <v>0</v>
      </c>
      <c r="J53" s="45"/>
      <c r="K53" s="43"/>
    </row>
    <row r="54" spans="1:11" ht="13.2" x14ac:dyDescent="0.25">
      <c r="A54" s="47">
        <v>45621</v>
      </c>
      <c r="B54" s="38" t="s">
        <v>55</v>
      </c>
      <c r="C54" s="39" t="s">
        <v>17</v>
      </c>
      <c r="D54" s="38" t="s">
        <v>125</v>
      </c>
      <c r="E54" s="40" t="s">
        <v>67</v>
      </c>
      <c r="F54" s="40" t="s">
        <v>109</v>
      </c>
      <c r="G54" s="41">
        <v>1</v>
      </c>
      <c r="H54" s="41">
        <v>1</v>
      </c>
      <c r="I54" s="41">
        <f t="shared" si="1"/>
        <v>0</v>
      </c>
      <c r="J54" s="45"/>
      <c r="K54" s="43"/>
    </row>
    <row r="55" spans="1:11" ht="13.2" x14ac:dyDescent="0.25">
      <c r="A55" s="47">
        <v>45621</v>
      </c>
      <c r="B55" s="38" t="s">
        <v>55</v>
      </c>
      <c r="C55" s="39" t="s">
        <v>17</v>
      </c>
      <c r="D55" s="38" t="s">
        <v>126</v>
      </c>
      <c r="E55" s="40" t="s">
        <v>56</v>
      </c>
      <c r="F55" s="40" t="s">
        <v>109</v>
      </c>
      <c r="G55" s="41">
        <v>0.5</v>
      </c>
      <c r="H55" s="41">
        <v>0.5</v>
      </c>
      <c r="I55" s="41">
        <f t="shared" si="1"/>
        <v>0</v>
      </c>
      <c r="J55" s="45"/>
      <c r="K55" s="43"/>
    </row>
    <row r="56" spans="1:11" ht="13.2" x14ac:dyDescent="0.25">
      <c r="A56" s="47">
        <v>45622</v>
      </c>
      <c r="B56" s="38" t="s">
        <v>55</v>
      </c>
      <c r="C56" s="39" t="s">
        <v>17</v>
      </c>
      <c r="D56" s="38" t="s">
        <v>127</v>
      </c>
      <c r="E56" s="40" t="s">
        <v>62</v>
      </c>
      <c r="F56" s="40" t="s">
        <v>87</v>
      </c>
      <c r="G56" s="41">
        <v>0.5</v>
      </c>
      <c r="H56" s="41">
        <v>0.5</v>
      </c>
      <c r="I56" s="41">
        <f t="shared" si="1"/>
        <v>0</v>
      </c>
      <c r="J56" s="45"/>
      <c r="K56" s="43"/>
    </row>
    <row r="57" spans="1:11" ht="13.2" x14ac:dyDescent="0.25">
      <c r="A57" s="47">
        <v>45622</v>
      </c>
      <c r="B57" s="38" t="s">
        <v>55</v>
      </c>
      <c r="C57" s="39" t="s">
        <v>17</v>
      </c>
      <c r="D57" s="38" t="s">
        <v>128</v>
      </c>
      <c r="E57" s="40" t="s">
        <v>47</v>
      </c>
      <c r="F57" s="40" t="s">
        <v>88</v>
      </c>
      <c r="G57" s="41">
        <v>0.25</v>
      </c>
      <c r="H57" s="41">
        <v>0.25</v>
      </c>
      <c r="I57" s="41">
        <f t="shared" si="1"/>
        <v>0</v>
      </c>
      <c r="J57" s="45"/>
      <c r="K57" s="43"/>
    </row>
    <row r="58" spans="1:11" ht="13.2" x14ac:dyDescent="0.25">
      <c r="A58" s="47">
        <v>45622</v>
      </c>
      <c r="B58" s="38" t="s">
        <v>55</v>
      </c>
      <c r="C58" s="39" t="s">
        <v>17</v>
      </c>
      <c r="D58" s="38" t="s">
        <v>129</v>
      </c>
      <c r="E58" s="40" t="s">
        <v>50</v>
      </c>
      <c r="F58" s="40" t="s">
        <v>109</v>
      </c>
      <c r="G58" s="41">
        <v>0.5</v>
      </c>
      <c r="H58" s="41">
        <v>0.5</v>
      </c>
      <c r="I58" s="41">
        <f t="shared" si="1"/>
        <v>0</v>
      </c>
      <c r="J58" s="45"/>
      <c r="K58" s="43" t="s">
        <v>130</v>
      </c>
    </row>
    <row r="59" spans="1:11" ht="13.2" x14ac:dyDescent="0.25">
      <c r="A59" s="47">
        <v>45622</v>
      </c>
      <c r="B59" s="38" t="s">
        <v>55</v>
      </c>
      <c r="C59" s="39" t="s">
        <v>17</v>
      </c>
      <c r="D59" s="38" t="s">
        <v>131</v>
      </c>
      <c r="E59" s="40" t="s">
        <v>67</v>
      </c>
      <c r="F59" s="40" t="s">
        <v>109</v>
      </c>
      <c r="G59" s="41">
        <v>0.5</v>
      </c>
      <c r="H59" s="41">
        <v>0.5</v>
      </c>
      <c r="I59" s="41">
        <f t="shared" si="1"/>
        <v>0</v>
      </c>
      <c r="J59" s="45"/>
      <c r="K59" s="43"/>
    </row>
    <row r="60" spans="1:11" ht="13.2" x14ac:dyDescent="0.25">
      <c r="A60" s="47">
        <v>45622</v>
      </c>
      <c r="B60" s="38" t="s">
        <v>55</v>
      </c>
      <c r="C60" s="39" t="s">
        <v>17</v>
      </c>
      <c r="D60" s="38" t="s">
        <v>132</v>
      </c>
      <c r="E60" s="40" t="s">
        <v>67</v>
      </c>
      <c r="F60" s="40" t="s">
        <v>109</v>
      </c>
      <c r="G60" s="41">
        <v>0.5</v>
      </c>
      <c r="H60" s="41">
        <v>2.35</v>
      </c>
      <c r="I60" s="41">
        <f t="shared" si="1"/>
        <v>1.85</v>
      </c>
      <c r="J60" s="45"/>
      <c r="K60" s="43" t="s">
        <v>137</v>
      </c>
    </row>
    <row r="61" spans="1:11" ht="13.2" x14ac:dyDescent="0.25">
      <c r="A61" s="47">
        <v>45622</v>
      </c>
      <c r="B61" s="38" t="s">
        <v>55</v>
      </c>
      <c r="C61" s="39" t="s">
        <v>17</v>
      </c>
      <c r="D61" s="38" t="s">
        <v>133</v>
      </c>
      <c r="E61" s="40" t="s">
        <v>50</v>
      </c>
      <c r="F61" s="40" t="s">
        <v>109</v>
      </c>
      <c r="G61" s="41">
        <v>0.1</v>
      </c>
      <c r="H61" s="41">
        <v>0.1</v>
      </c>
      <c r="I61" s="41">
        <f t="shared" si="1"/>
        <v>0</v>
      </c>
      <c r="J61" s="45"/>
      <c r="K61" s="43" t="s">
        <v>134</v>
      </c>
    </row>
    <row r="62" spans="1:11" ht="13.2" x14ac:dyDescent="0.25">
      <c r="A62" s="47">
        <v>45622</v>
      </c>
      <c r="B62" s="38" t="s">
        <v>46</v>
      </c>
      <c r="C62" s="39" t="s">
        <v>17</v>
      </c>
      <c r="D62" s="38" t="s">
        <v>135</v>
      </c>
      <c r="E62" s="40" t="s">
        <v>46</v>
      </c>
      <c r="F62" s="40" t="s">
        <v>109</v>
      </c>
      <c r="G62" s="41">
        <v>0</v>
      </c>
      <c r="H62" s="41">
        <v>0.1</v>
      </c>
      <c r="I62" s="41">
        <f t="shared" si="1"/>
        <v>0.1</v>
      </c>
      <c r="J62" s="45"/>
      <c r="K62" s="43" t="s">
        <v>136</v>
      </c>
    </row>
    <row r="63" spans="1:11" ht="13.2" x14ac:dyDescent="0.25">
      <c r="A63" s="47">
        <v>45622</v>
      </c>
      <c r="B63" s="38" t="s">
        <v>52</v>
      </c>
      <c r="C63" s="39" t="s">
        <v>17</v>
      </c>
      <c r="D63" s="38" t="s">
        <v>138</v>
      </c>
      <c r="E63" s="40" t="s">
        <v>50</v>
      </c>
      <c r="F63" s="40" t="s">
        <v>109</v>
      </c>
      <c r="G63" s="41">
        <v>4</v>
      </c>
      <c r="H63" s="41">
        <v>3.55</v>
      </c>
      <c r="I63" s="41">
        <f t="shared" si="1"/>
        <v>-0.45000000000000018</v>
      </c>
      <c r="J63" s="45"/>
      <c r="K63" s="43"/>
    </row>
    <row r="64" spans="1:11" ht="13.2" x14ac:dyDescent="0.25">
      <c r="A64" s="47"/>
      <c r="B64" s="38"/>
      <c r="C64" s="39" t="s">
        <v>17</v>
      </c>
      <c r="D64" s="38"/>
      <c r="E64" s="40"/>
      <c r="F64" s="40"/>
      <c r="G64" s="41"/>
      <c r="H64" s="41"/>
      <c r="I64" s="41">
        <f t="shared" si="1"/>
        <v>0</v>
      </c>
      <c r="J64" s="45"/>
      <c r="K64" s="43"/>
    </row>
    <row r="65" spans="1:11" ht="13.2" x14ac:dyDescent="0.25">
      <c r="A65" s="13"/>
      <c r="B65" s="15"/>
      <c r="C65" s="15"/>
      <c r="D65" s="15"/>
      <c r="E65" s="15" t="s">
        <v>18</v>
      </c>
      <c r="F65" s="15"/>
      <c r="G65" s="18">
        <f t="shared" ref="G65:H65" si="2">SUM(G47:G64)</f>
        <v>14.85</v>
      </c>
      <c r="H65" s="18">
        <f t="shared" si="2"/>
        <v>16.349999999999998</v>
      </c>
      <c r="I65" s="18">
        <f t="shared" si="1"/>
        <v>1.4999999999999982</v>
      </c>
      <c r="J65" s="19"/>
      <c r="K65" s="46"/>
    </row>
    <row r="66" spans="1:11" ht="18.75" customHeight="1" x14ac:dyDescent="0.25">
      <c r="A66" s="66" t="s">
        <v>21</v>
      </c>
      <c r="B66" s="62"/>
      <c r="C66" s="62"/>
      <c r="D66" s="62"/>
      <c r="E66" s="62"/>
      <c r="F66" s="62"/>
      <c r="G66" s="62"/>
      <c r="H66" s="62"/>
      <c r="I66" s="62"/>
      <c r="J66" s="62"/>
      <c r="K66" s="63"/>
    </row>
    <row r="67" spans="1:11" ht="13.2" x14ac:dyDescent="0.25">
      <c r="A67" s="21" t="s">
        <v>12</v>
      </c>
      <c r="B67" s="67" t="s">
        <v>13</v>
      </c>
      <c r="C67" s="62"/>
      <c r="D67" s="62"/>
      <c r="E67" s="62"/>
      <c r="F67" s="62"/>
      <c r="G67" s="62"/>
      <c r="H67" s="62"/>
      <c r="I67" s="62"/>
      <c r="J67" s="62"/>
      <c r="K67" s="63"/>
    </row>
    <row r="68" spans="1:11" ht="27.75" customHeight="1" x14ac:dyDescent="0.25">
      <c r="A68" s="22" t="s">
        <v>14</v>
      </c>
      <c r="B68" s="67" t="s">
        <v>15</v>
      </c>
      <c r="C68" s="62"/>
      <c r="D68" s="62"/>
      <c r="E68" s="62"/>
      <c r="F68" s="62"/>
      <c r="G68" s="62"/>
      <c r="H68" s="62"/>
      <c r="I68" s="62"/>
      <c r="J68" s="62"/>
      <c r="K68" s="63"/>
    </row>
    <row r="69" spans="1:11" ht="13.2" x14ac:dyDescent="0.25">
      <c r="A69" s="37"/>
      <c r="B69" s="38"/>
      <c r="C69" s="39" t="s">
        <v>17</v>
      </c>
      <c r="D69" s="38"/>
      <c r="E69" s="40"/>
      <c r="F69" s="40"/>
      <c r="G69" s="41"/>
      <c r="H69" s="41"/>
      <c r="I69" s="41">
        <f t="shared" ref="I69:I79" si="3">H69-G69</f>
        <v>0</v>
      </c>
      <c r="J69" s="45"/>
      <c r="K69" s="43"/>
    </row>
    <row r="70" spans="1:11" ht="13.2" x14ac:dyDescent="0.25">
      <c r="A70" s="37"/>
      <c r="B70" s="38"/>
      <c r="C70" s="39" t="s">
        <v>17</v>
      </c>
      <c r="D70" s="38"/>
      <c r="E70" s="40"/>
      <c r="F70" s="40"/>
      <c r="G70" s="41"/>
      <c r="H70" s="41"/>
      <c r="I70" s="41">
        <f t="shared" si="3"/>
        <v>0</v>
      </c>
      <c r="J70" s="45"/>
      <c r="K70" s="43"/>
    </row>
    <row r="71" spans="1:11" ht="13.2" x14ac:dyDescent="0.25">
      <c r="A71" s="37"/>
      <c r="B71" s="38"/>
      <c r="C71" s="39" t="s">
        <v>17</v>
      </c>
      <c r="D71" s="38"/>
      <c r="E71" s="40"/>
      <c r="F71" s="40"/>
      <c r="G71" s="41"/>
      <c r="H71" s="41"/>
      <c r="I71" s="41">
        <f t="shared" si="3"/>
        <v>0</v>
      </c>
      <c r="J71" s="45"/>
      <c r="K71" s="43"/>
    </row>
    <row r="72" spans="1:11" ht="13.2" x14ac:dyDescent="0.25">
      <c r="A72" s="37"/>
      <c r="B72" s="38"/>
      <c r="C72" s="39" t="s">
        <v>17</v>
      </c>
      <c r="D72" s="38"/>
      <c r="E72" s="40"/>
      <c r="F72" s="40"/>
      <c r="G72" s="41"/>
      <c r="H72" s="41"/>
      <c r="I72" s="41">
        <f t="shared" si="3"/>
        <v>0</v>
      </c>
      <c r="J72" s="45"/>
      <c r="K72" s="43"/>
    </row>
    <row r="73" spans="1:11" ht="13.2" x14ac:dyDescent="0.25">
      <c r="A73" s="37"/>
      <c r="B73" s="38"/>
      <c r="C73" s="39" t="s">
        <v>17</v>
      </c>
      <c r="D73" s="38"/>
      <c r="E73" s="40"/>
      <c r="F73" s="40"/>
      <c r="G73" s="41"/>
      <c r="H73" s="41"/>
      <c r="I73" s="41">
        <f t="shared" si="3"/>
        <v>0</v>
      </c>
      <c r="J73" s="45"/>
      <c r="K73" s="43"/>
    </row>
    <row r="74" spans="1:11" ht="13.2" x14ac:dyDescent="0.25">
      <c r="A74" s="37"/>
      <c r="B74" s="38"/>
      <c r="C74" s="39" t="s">
        <v>17</v>
      </c>
      <c r="D74" s="38"/>
      <c r="E74" s="40"/>
      <c r="F74" s="40"/>
      <c r="G74" s="41"/>
      <c r="H74" s="41"/>
      <c r="I74" s="41">
        <f t="shared" si="3"/>
        <v>0</v>
      </c>
      <c r="J74" s="45"/>
      <c r="K74" s="43"/>
    </row>
    <row r="75" spans="1:11" ht="13.2" x14ac:dyDescent="0.25">
      <c r="A75" s="37"/>
      <c r="B75" s="38"/>
      <c r="C75" s="39" t="s">
        <v>17</v>
      </c>
      <c r="D75" s="38"/>
      <c r="E75" s="40"/>
      <c r="F75" s="40"/>
      <c r="G75" s="41"/>
      <c r="H75" s="41"/>
      <c r="I75" s="41">
        <f t="shared" si="3"/>
        <v>0</v>
      </c>
      <c r="J75" s="45"/>
      <c r="K75" s="43"/>
    </row>
    <row r="76" spans="1:11" ht="13.2" x14ac:dyDescent="0.25">
      <c r="A76" s="37"/>
      <c r="B76" s="38"/>
      <c r="C76" s="39" t="s">
        <v>17</v>
      </c>
      <c r="D76" s="38"/>
      <c r="E76" s="40"/>
      <c r="F76" s="40"/>
      <c r="G76" s="41"/>
      <c r="H76" s="41"/>
      <c r="I76" s="41">
        <f t="shared" si="3"/>
        <v>0</v>
      </c>
      <c r="J76" s="45"/>
      <c r="K76" s="43"/>
    </row>
    <row r="77" spans="1:11" ht="13.2" x14ac:dyDescent="0.25">
      <c r="A77" s="37"/>
      <c r="B77" s="38"/>
      <c r="C77" s="39" t="s">
        <v>17</v>
      </c>
      <c r="D77" s="38"/>
      <c r="E77" s="40"/>
      <c r="F77" s="40"/>
      <c r="G77" s="41"/>
      <c r="H77" s="41"/>
      <c r="I77" s="41">
        <f t="shared" si="3"/>
        <v>0</v>
      </c>
      <c r="J77" s="45"/>
      <c r="K77" s="43"/>
    </row>
    <row r="78" spans="1:11" ht="13.2" x14ac:dyDescent="0.25">
      <c r="A78" s="37"/>
      <c r="B78" s="38"/>
      <c r="C78" s="39" t="s">
        <v>17</v>
      </c>
      <c r="D78" s="38"/>
      <c r="E78" s="40"/>
      <c r="F78" s="40"/>
      <c r="G78" s="41"/>
      <c r="H78" s="41"/>
      <c r="I78" s="41">
        <f t="shared" si="3"/>
        <v>0</v>
      </c>
      <c r="J78" s="45"/>
      <c r="K78" s="43"/>
    </row>
    <row r="79" spans="1:11" ht="13.2" x14ac:dyDescent="0.25">
      <c r="A79" s="13"/>
      <c r="B79" s="15"/>
      <c r="C79" s="15"/>
      <c r="D79" s="15"/>
      <c r="E79" s="15" t="s">
        <v>18</v>
      </c>
      <c r="F79" s="15"/>
      <c r="G79" s="18">
        <f t="shared" ref="G79:H79" si="4">SUM(G69:G78)</f>
        <v>0</v>
      </c>
      <c r="H79" s="18">
        <f t="shared" si="4"/>
        <v>0</v>
      </c>
      <c r="I79" s="18">
        <f t="shared" si="3"/>
        <v>0</v>
      </c>
      <c r="J79" s="19"/>
      <c r="K79" s="46"/>
    </row>
    <row r="80" spans="1:11" ht="18.75" customHeight="1" x14ac:dyDescent="0.25">
      <c r="A80" s="68" t="s">
        <v>22</v>
      </c>
      <c r="B80" s="62"/>
      <c r="C80" s="62"/>
      <c r="D80" s="62"/>
      <c r="E80" s="62"/>
      <c r="F80" s="62"/>
      <c r="G80" s="62"/>
      <c r="H80" s="62"/>
      <c r="I80" s="62"/>
      <c r="J80" s="62"/>
      <c r="K80" s="63"/>
    </row>
    <row r="81" spans="1:11" ht="13.2" x14ac:dyDescent="0.25">
      <c r="A81" s="23" t="s">
        <v>12</v>
      </c>
      <c r="B81" s="70" t="s">
        <v>13</v>
      </c>
      <c r="C81" s="62"/>
      <c r="D81" s="62"/>
      <c r="E81" s="62"/>
      <c r="F81" s="62"/>
      <c r="G81" s="62"/>
      <c r="H81" s="62"/>
      <c r="I81" s="62"/>
      <c r="J81" s="62"/>
      <c r="K81" s="63"/>
    </row>
    <row r="82" spans="1:11" ht="27.75" customHeight="1" x14ac:dyDescent="0.25">
      <c r="A82" s="24" t="s">
        <v>14</v>
      </c>
      <c r="B82" s="70" t="s">
        <v>15</v>
      </c>
      <c r="C82" s="62"/>
      <c r="D82" s="62"/>
      <c r="E82" s="62"/>
      <c r="F82" s="62"/>
      <c r="G82" s="62"/>
      <c r="H82" s="62"/>
      <c r="I82" s="62"/>
      <c r="J82" s="62"/>
      <c r="K82" s="63"/>
    </row>
    <row r="83" spans="1:11" ht="13.2" x14ac:dyDescent="0.25">
      <c r="A83" s="37"/>
      <c r="B83" s="38"/>
      <c r="C83" s="39" t="s">
        <v>17</v>
      </c>
      <c r="D83" s="38"/>
      <c r="E83" s="40"/>
      <c r="F83" s="40"/>
      <c r="G83" s="41"/>
      <c r="H83" s="41"/>
      <c r="I83" s="41">
        <f t="shared" ref="I83:I93" si="5">H83-G83</f>
        <v>0</v>
      </c>
      <c r="J83" s="45"/>
      <c r="K83" s="43"/>
    </row>
    <row r="84" spans="1:11" ht="13.2" x14ac:dyDescent="0.25">
      <c r="A84" s="37"/>
      <c r="B84" s="38"/>
      <c r="C84" s="39" t="s">
        <v>17</v>
      </c>
      <c r="D84" s="38"/>
      <c r="E84" s="40"/>
      <c r="F84" s="40"/>
      <c r="G84" s="41"/>
      <c r="H84" s="41"/>
      <c r="I84" s="41">
        <f t="shared" si="5"/>
        <v>0</v>
      </c>
      <c r="J84" s="45"/>
      <c r="K84" s="43"/>
    </row>
    <row r="85" spans="1:11" ht="13.2" x14ac:dyDescent="0.25">
      <c r="A85" s="37"/>
      <c r="B85" s="38"/>
      <c r="C85" s="39" t="s">
        <v>17</v>
      </c>
      <c r="D85" s="38"/>
      <c r="E85" s="40"/>
      <c r="F85" s="40"/>
      <c r="G85" s="41"/>
      <c r="H85" s="41"/>
      <c r="I85" s="41">
        <f t="shared" si="5"/>
        <v>0</v>
      </c>
      <c r="J85" s="45"/>
      <c r="K85" s="43"/>
    </row>
    <row r="86" spans="1:11" ht="13.2" x14ac:dyDescent="0.25">
      <c r="A86" s="37"/>
      <c r="B86" s="38"/>
      <c r="C86" s="39" t="s">
        <v>17</v>
      </c>
      <c r="D86" s="38"/>
      <c r="E86" s="40"/>
      <c r="F86" s="40"/>
      <c r="G86" s="41"/>
      <c r="H86" s="41"/>
      <c r="I86" s="41">
        <f t="shared" si="5"/>
        <v>0</v>
      </c>
      <c r="J86" s="45"/>
      <c r="K86" s="43"/>
    </row>
    <row r="87" spans="1:11" ht="13.2" x14ac:dyDescent="0.25">
      <c r="A87" s="37"/>
      <c r="B87" s="38"/>
      <c r="C87" s="39" t="s">
        <v>17</v>
      </c>
      <c r="D87" s="38"/>
      <c r="E87" s="40"/>
      <c r="F87" s="40"/>
      <c r="G87" s="41"/>
      <c r="H87" s="41"/>
      <c r="I87" s="41">
        <f t="shared" si="5"/>
        <v>0</v>
      </c>
      <c r="J87" s="45"/>
      <c r="K87" s="43"/>
    </row>
    <row r="88" spans="1:11" ht="13.2" x14ac:dyDescent="0.25">
      <c r="A88" s="37"/>
      <c r="B88" s="38"/>
      <c r="C88" s="39" t="s">
        <v>17</v>
      </c>
      <c r="D88" s="38"/>
      <c r="E88" s="40"/>
      <c r="F88" s="40"/>
      <c r="G88" s="41"/>
      <c r="H88" s="41"/>
      <c r="I88" s="41">
        <f t="shared" si="5"/>
        <v>0</v>
      </c>
      <c r="J88" s="45"/>
      <c r="K88" s="43"/>
    </row>
    <row r="89" spans="1:11" ht="13.2" x14ac:dyDescent="0.25">
      <c r="A89" s="37"/>
      <c r="B89" s="38"/>
      <c r="C89" s="39" t="s">
        <v>17</v>
      </c>
      <c r="D89" s="38"/>
      <c r="E89" s="40"/>
      <c r="F89" s="40"/>
      <c r="G89" s="41"/>
      <c r="H89" s="41"/>
      <c r="I89" s="41">
        <f t="shared" si="5"/>
        <v>0</v>
      </c>
      <c r="J89" s="45"/>
      <c r="K89" s="43"/>
    </row>
    <row r="90" spans="1:11" ht="13.2" x14ac:dyDescent="0.25">
      <c r="A90" s="37"/>
      <c r="B90" s="38"/>
      <c r="C90" s="39" t="s">
        <v>17</v>
      </c>
      <c r="D90" s="38"/>
      <c r="E90" s="40"/>
      <c r="F90" s="40"/>
      <c r="G90" s="41"/>
      <c r="H90" s="41"/>
      <c r="I90" s="41">
        <f t="shared" si="5"/>
        <v>0</v>
      </c>
      <c r="J90" s="45"/>
      <c r="K90" s="43"/>
    </row>
    <row r="91" spans="1:11" ht="13.2" x14ac:dyDescent="0.25">
      <c r="A91" s="37"/>
      <c r="B91" s="38"/>
      <c r="C91" s="39" t="s">
        <v>17</v>
      </c>
      <c r="D91" s="38"/>
      <c r="E91" s="40"/>
      <c r="F91" s="40"/>
      <c r="G91" s="41"/>
      <c r="H91" s="41"/>
      <c r="I91" s="41">
        <f t="shared" si="5"/>
        <v>0</v>
      </c>
      <c r="J91" s="45"/>
      <c r="K91" s="43"/>
    </row>
    <row r="92" spans="1:11" ht="13.2" x14ac:dyDescent="0.25">
      <c r="A92" s="37"/>
      <c r="B92" s="38"/>
      <c r="C92" s="39" t="s">
        <v>17</v>
      </c>
      <c r="D92" s="38"/>
      <c r="E92" s="40"/>
      <c r="F92" s="40"/>
      <c r="G92" s="41"/>
      <c r="H92" s="41"/>
      <c r="I92" s="41">
        <f t="shared" si="5"/>
        <v>0</v>
      </c>
      <c r="J92" s="45"/>
      <c r="K92" s="43"/>
    </row>
    <row r="93" spans="1:11" ht="13.2" x14ac:dyDescent="0.25">
      <c r="A93" s="13"/>
      <c r="B93" s="15"/>
      <c r="C93" s="15"/>
      <c r="D93" s="15"/>
      <c r="E93" s="15" t="s">
        <v>18</v>
      </c>
      <c r="F93" s="15"/>
      <c r="G93" s="18">
        <f t="shared" ref="G93:H93" si="6">SUM(G83:G92)</f>
        <v>0</v>
      </c>
      <c r="H93" s="18">
        <f t="shared" si="6"/>
        <v>0</v>
      </c>
      <c r="I93" s="18">
        <f t="shared" si="5"/>
        <v>0</v>
      </c>
      <c r="J93" s="19"/>
      <c r="K93" s="46"/>
    </row>
    <row r="94" spans="1:11" ht="18.75" customHeight="1" x14ac:dyDescent="0.25">
      <c r="A94" s="73" t="s">
        <v>23</v>
      </c>
      <c r="B94" s="62"/>
      <c r="C94" s="62"/>
      <c r="D94" s="62"/>
      <c r="E94" s="62"/>
      <c r="F94" s="62"/>
      <c r="G94" s="62"/>
      <c r="H94" s="62"/>
      <c r="I94" s="62"/>
      <c r="J94" s="62"/>
      <c r="K94" s="63"/>
    </row>
    <row r="95" spans="1:11" ht="13.2" x14ac:dyDescent="0.25">
      <c r="A95" s="25" t="s">
        <v>12</v>
      </c>
      <c r="B95" s="74" t="s">
        <v>13</v>
      </c>
      <c r="C95" s="62"/>
      <c r="D95" s="62"/>
      <c r="E95" s="62"/>
      <c r="F95" s="62"/>
      <c r="G95" s="62"/>
      <c r="H95" s="62"/>
      <c r="I95" s="62"/>
      <c r="J95" s="62"/>
      <c r="K95" s="63"/>
    </row>
    <row r="96" spans="1:11" ht="27.75" customHeight="1" x14ac:dyDescent="0.25">
      <c r="A96" s="26" t="s">
        <v>14</v>
      </c>
      <c r="B96" s="74" t="s">
        <v>15</v>
      </c>
      <c r="C96" s="62"/>
      <c r="D96" s="62"/>
      <c r="E96" s="62"/>
      <c r="F96" s="62"/>
      <c r="G96" s="62"/>
      <c r="H96" s="62"/>
      <c r="I96" s="62"/>
      <c r="J96" s="62"/>
      <c r="K96" s="63"/>
    </row>
    <row r="97" spans="1:11" ht="13.2" x14ac:dyDescent="0.25">
      <c r="A97" s="37"/>
      <c r="B97" s="38"/>
      <c r="C97" s="39" t="s">
        <v>17</v>
      </c>
      <c r="D97" s="38"/>
      <c r="E97" s="40"/>
      <c r="F97" s="40"/>
      <c r="G97" s="41"/>
      <c r="H97" s="41"/>
      <c r="I97" s="41">
        <f t="shared" ref="I97:I107" si="7">H97-G97</f>
        <v>0</v>
      </c>
      <c r="J97" s="45"/>
      <c r="K97" s="43"/>
    </row>
    <row r="98" spans="1:11" ht="13.2" x14ac:dyDescent="0.25">
      <c r="A98" s="37"/>
      <c r="B98" s="38"/>
      <c r="C98" s="39" t="s">
        <v>17</v>
      </c>
      <c r="D98" s="38"/>
      <c r="E98" s="40"/>
      <c r="F98" s="40"/>
      <c r="G98" s="41"/>
      <c r="H98" s="41"/>
      <c r="I98" s="41">
        <f t="shared" si="7"/>
        <v>0</v>
      </c>
      <c r="J98" s="45"/>
      <c r="K98" s="43"/>
    </row>
    <row r="99" spans="1:11" ht="13.2" x14ac:dyDescent="0.25">
      <c r="A99" s="37"/>
      <c r="B99" s="38"/>
      <c r="C99" s="39" t="s">
        <v>17</v>
      </c>
      <c r="D99" s="38"/>
      <c r="E99" s="40"/>
      <c r="F99" s="40"/>
      <c r="G99" s="41"/>
      <c r="H99" s="41"/>
      <c r="I99" s="41">
        <f t="shared" si="7"/>
        <v>0</v>
      </c>
      <c r="J99" s="45"/>
      <c r="K99" s="43"/>
    </row>
    <row r="100" spans="1:11" ht="13.2" x14ac:dyDescent="0.25">
      <c r="A100" s="37"/>
      <c r="B100" s="38"/>
      <c r="C100" s="39" t="s">
        <v>17</v>
      </c>
      <c r="D100" s="38"/>
      <c r="E100" s="40"/>
      <c r="F100" s="40"/>
      <c r="G100" s="41"/>
      <c r="H100" s="41"/>
      <c r="I100" s="41">
        <f t="shared" si="7"/>
        <v>0</v>
      </c>
      <c r="J100" s="45"/>
      <c r="K100" s="43"/>
    </row>
    <row r="101" spans="1:11" ht="13.2" x14ac:dyDescent="0.25">
      <c r="A101" s="37"/>
      <c r="B101" s="38"/>
      <c r="C101" s="39" t="s">
        <v>17</v>
      </c>
      <c r="D101" s="38"/>
      <c r="E101" s="40"/>
      <c r="F101" s="40"/>
      <c r="G101" s="41"/>
      <c r="H101" s="41"/>
      <c r="I101" s="41">
        <f t="shared" si="7"/>
        <v>0</v>
      </c>
      <c r="J101" s="45"/>
      <c r="K101" s="43"/>
    </row>
    <row r="102" spans="1:11" ht="13.2" x14ac:dyDescent="0.25">
      <c r="A102" s="37"/>
      <c r="B102" s="38"/>
      <c r="C102" s="39" t="s">
        <v>17</v>
      </c>
      <c r="D102" s="38"/>
      <c r="E102" s="40"/>
      <c r="F102" s="40"/>
      <c r="G102" s="41"/>
      <c r="H102" s="41"/>
      <c r="I102" s="41">
        <f t="shared" si="7"/>
        <v>0</v>
      </c>
      <c r="J102" s="45"/>
      <c r="K102" s="43"/>
    </row>
    <row r="103" spans="1:11" ht="13.2" x14ac:dyDescent="0.25">
      <c r="A103" s="37"/>
      <c r="B103" s="38"/>
      <c r="C103" s="39" t="s">
        <v>17</v>
      </c>
      <c r="D103" s="38"/>
      <c r="E103" s="40"/>
      <c r="F103" s="40"/>
      <c r="G103" s="41"/>
      <c r="H103" s="41"/>
      <c r="I103" s="41">
        <f t="shared" si="7"/>
        <v>0</v>
      </c>
      <c r="J103" s="45"/>
      <c r="K103" s="43"/>
    </row>
    <row r="104" spans="1:11" ht="13.2" x14ac:dyDescent="0.25">
      <c r="A104" s="37"/>
      <c r="B104" s="38"/>
      <c r="C104" s="39" t="s">
        <v>17</v>
      </c>
      <c r="D104" s="38"/>
      <c r="E104" s="40"/>
      <c r="F104" s="40"/>
      <c r="G104" s="41"/>
      <c r="H104" s="41"/>
      <c r="I104" s="41">
        <f t="shared" si="7"/>
        <v>0</v>
      </c>
      <c r="J104" s="45"/>
      <c r="K104" s="43"/>
    </row>
    <row r="105" spans="1:11" ht="13.2" x14ac:dyDescent="0.25">
      <c r="A105" s="37"/>
      <c r="B105" s="38"/>
      <c r="C105" s="39" t="s">
        <v>17</v>
      </c>
      <c r="D105" s="38"/>
      <c r="E105" s="40"/>
      <c r="F105" s="40"/>
      <c r="G105" s="41"/>
      <c r="H105" s="41"/>
      <c r="I105" s="41">
        <f t="shared" si="7"/>
        <v>0</v>
      </c>
      <c r="J105" s="45"/>
      <c r="K105" s="43"/>
    </row>
    <row r="106" spans="1:11" ht="13.2" x14ac:dyDescent="0.25">
      <c r="A106" s="37"/>
      <c r="B106" s="38"/>
      <c r="C106" s="39" t="s">
        <v>17</v>
      </c>
      <c r="D106" s="38"/>
      <c r="E106" s="40"/>
      <c r="F106" s="40"/>
      <c r="G106" s="41"/>
      <c r="H106" s="41"/>
      <c r="I106" s="41">
        <f t="shared" si="7"/>
        <v>0</v>
      </c>
      <c r="J106" s="45"/>
      <c r="K106" s="43"/>
    </row>
    <row r="107" spans="1:11" ht="13.2" x14ac:dyDescent="0.25">
      <c r="A107" s="13"/>
      <c r="B107" s="15"/>
      <c r="C107" s="15"/>
      <c r="D107" s="15"/>
      <c r="E107" s="15" t="s">
        <v>18</v>
      </c>
      <c r="F107" s="15"/>
      <c r="G107" s="18">
        <f t="shared" ref="G107:H107" si="8">SUM(G97:G106)</f>
        <v>0</v>
      </c>
      <c r="H107" s="18">
        <f t="shared" si="8"/>
        <v>0</v>
      </c>
      <c r="I107" s="18">
        <f t="shared" si="7"/>
        <v>0</v>
      </c>
      <c r="J107" s="19"/>
      <c r="K107" s="46"/>
    </row>
    <row r="108" spans="1:11" ht="18.75" customHeight="1" x14ac:dyDescent="0.25">
      <c r="A108" s="75" t="s">
        <v>24</v>
      </c>
      <c r="B108" s="62"/>
      <c r="C108" s="62"/>
      <c r="D108" s="62"/>
      <c r="E108" s="62"/>
      <c r="F108" s="62"/>
      <c r="G108" s="62"/>
      <c r="H108" s="62"/>
      <c r="I108" s="62"/>
      <c r="J108" s="62"/>
      <c r="K108" s="63"/>
    </row>
    <row r="109" spans="1:11" ht="13.2" x14ac:dyDescent="0.25">
      <c r="A109" s="27" t="s">
        <v>12</v>
      </c>
      <c r="B109" s="71" t="s">
        <v>13</v>
      </c>
      <c r="C109" s="62"/>
      <c r="D109" s="62"/>
      <c r="E109" s="62"/>
      <c r="F109" s="62"/>
      <c r="G109" s="62"/>
      <c r="H109" s="62"/>
      <c r="I109" s="62"/>
      <c r="J109" s="62"/>
      <c r="K109" s="63"/>
    </row>
    <row r="110" spans="1:11" ht="27.75" customHeight="1" x14ac:dyDescent="0.25">
      <c r="A110" s="28" t="s">
        <v>14</v>
      </c>
      <c r="B110" s="71" t="s">
        <v>15</v>
      </c>
      <c r="C110" s="62"/>
      <c r="D110" s="62"/>
      <c r="E110" s="62"/>
      <c r="F110" s="62"/>
      <c r="G110" s="62"/>
      <c r="H110" s="62"/>
      <c r="I110" s="62"/>
      <c r="J110" s="62"/>
      <c r="K110" s="63"/>
    </row>
    <row r="111" spans="1:11" ht="13.2" x14ac:dyDescent="0.25">
      <c r="A111" s="37"/>
      <c r="B111" s="38"/>
      <c r="C111" s="39" t="s">
        <v>17</v>
      </c>
      <c r="D111" s="38"/>
      <c r="E111" s="40"/>
      <c r="F111" s="40"/>
      <c r="G111" s="41"/>
      <c r="H111" s="41"/>
      <c r="I111" s="41">
        <f t="shared" ref="I111:I121" si="9">H111-G111</f>
        <v>0</v>
      </c>
      <c r="J111" s="45"/>
      <c r="K111" s="43"/>
    </row>
    <row r="112" spans="1:11" ht="13.2" x14ac:dyDescent="0.25">
      <c r="A112" s="37"/>
      <c r="B112" s="38"/>
      <c r="C112" s="39" t="s">
        <v>17</v>
      </c>
      <c r="D112" s="38"/>
      <c r="E112" s="40"/>
      <c r="F112" s="40"/>
      <c r="G112" s="41"/>
      <c r="H112" s="41"/>
      <c r="I112" s="41">
        <f t="shared" si="9"/>
        <v>0</v>
      </c>
      <c r="J112" s="45"/>
      <c r="K112" s="43"/>
    </row>
    <row r="113" spans="1:11" ht="13.2" x14ac:dyDescent="0.25">
      <c r="A113" s="37"/>
      <c r="B113" s="38"/>
      <c r="C113" s="39" t="s">
        <v>17</v>
      </c>
      <c r="D113" s="38"/>
      <c r="E113" s="40"/>
      <c r="F113" s="40"/>
      <c r="G113" s="41"/>
      <c r="H113" s="41"/>
      <c r="I113" s="41">
        <f t="shared" si="9"/>
        <v>0</v>
      </c>
      <c r="J113" s="45"/>
      <c r="K113" s="43" t="s">
        <v>25</v>
      </c>
    </row>
    <row r="114" spans="1:11" ht="13.2" x14ac:dyDescent="0.25">
      <c r="A114" s="37"/>
      <c r="B114" s="38"/>
      <c r="C114" s="39" t="s">
        <v>17</v>
      </c>
      <c r="D114" s="38"/>
      <c r="E114" s="40"/>
      <c r="F114" s="40"/>
      <c r="G114" s="41"/>
      <c r="H114" s="41"/>
      <c r="I114" s="41">
        <f t="shared" si="9"/>
        <v>0</v>
      </c>
      <c r="J114" s="45"/>
      <c r="K114" s="43"/>
    </row>
    <row r="115" spans="1:11" ht="13.2" x14ac:dyDescent="0.25">
      <c r="A115" s="37"/>
      <c r="B115" s="38"/>
      <c r="C115" s="39" t="s">
        <v>17</v>
      </c>
      <c r="D115" s="38"/>
      <c r="E115" s="40"/>
      <c r="F115" s="40"/>
      <c r="G115" s="41"/>
      <c r="H115" s="41"/>
      <c r="I115" s="41">
        <f t="shared" si="9"/>
        <v>0</v>
      </c>
      <c r="J115" s="45"/>
      <c r="K115" s="43"/>
    </row>
    <row r="116" spans="1:11" ht="13.2" x14ac:dyDescent="0.25">
      <c r="A116" s="37"/>
      <c r="B116" s="38"/>
      <c r="C116" s="39" t="s">
        <v>17</v>
      </c>
      <c r="D116" s="38"/>
      <c r="E116" s="40"/>
      <c r="F116" s="40"/>
      <c r="G116" s="41"/>
      <c r="H116" s="41"/>
      <c r="I116" s="41">
        <f t="shared" si="9"/>
        <v>0</v>
      </c>
      <c r="J116" s="45"/>
      <c r="K116" s="43"/>
    </row>
    <row r="117" spans="1:11" ht="13.2" x14ac:dyDescent="0.25">
      <c r="A117" s="37"/>
      <c r="B117" s="38"/>
      <c r="C117" s="39" t="s">
        <v>17</v>
      </c>
      <c r="D117" s="38"/>
      <c r="E117" s="40"/>
      <c r="F117" s="40"/>
      <c r="G117" s="41"/>
      <c r="H117" s="41"/>
      <c r="I117" s="41">
        <f t="shared" si="9"/>
        <v>0</v>
      </c>
      <c r="J117" s="45"/>
      <c r="K117" s="43"/>
    </row>
    <row r="118" spans="1:11" ht="13.2" x14ac:dyDescent="0.25">
      <c r="A118" s="37"/>
      <c r="B118" s="38"/>
      <c r="C118" s="39" t="s">
        <v>17</v>
      </c>
      <c r="D118" s="38"/>
      <c r="E118" s="40"/>
      <c r="F118" s="40"/>
      <c r="G118" s="41"/>
      <c r="H118" s="41"/>
      <c r="I118" s="41">
        <f t="shared" si="9"/>
        <v>0</v>
      </c>
      <c r="J118" s="45"/>
      <c r="K118" s="43"/>
    </row>
    <row r="119" spans="1:11" ht="13.2" x14ac:dyDescent="0.25">
      <c r="A119" s="37"/>
      <c r="B119" s="38"/>
      <c r="C119" s="39" t="s">
        <v>17</v>
      </c>
      <c r="D119" s="38"/>
      <c r="E119" s="40"/>
      <c r="F119" s="40"/>
      <c r="G119" s="41"/>
      <c r="H119" s="41"/>
      <c r="I119" s="41">
        <f t="shared" si="9"/>
        <v>0</v>
      </c>
      <c r="J119" s="45"/>
      <c r="K119" s="43"/>
    </row>
    <row r="120" spans="1:11" ht="13.2" x14ac:dyDescent="0.25">
      <c r="A120" s="37"/>
      <c r="B120" s="38"/>
      <c r="C120" s="39" t="s">
        <v>17</v>
      </c>
      <c r="D120" s="38"/>
      <c r="E120" s="40"/>
      <c r="F120" s="40"/>
      <c r="G120" s="41"/>
      <c r="H120" s="41"/>
      <c r="I120" s="41">
        <f t="shared" si="9"/>
        <v>0</v>
      </c>
      <c r="J120" s="45"/>
      <c r="K120" s="43"/>
    </row>
    <row r="121" spans="1:11" ht="13.2" x14ac:dyDescent="0.25">
      <c r="A121" s="13"/>
      <c r="B121" s="15"/>
      <c r="C121" s="15"/>
      <c r="D121" s="15"/>
      <c r="E121" s="15" t="s">
        <v>18</v>
      </c>
      <c r="F121" s="15"/>
      <c r="G121" s="18">
        <f t="shared" ref="G121:H121" si="10">SUM(G111:G120)</f>
        <v>0</v>
      </c>
      <c r="H121" s="18">
        <f t="shared" si="10"/>
        <v>0</v>
      </c>
      <c r="I121" s="18">
        <f t="shared" si="9"/>
        <v>0</v>
      </c>
      <c r="J121" s="19"/>
      <c r="K121" s="46"/>
    </row>
    <row r="122" spans="1:11" ht="18.75" customHeight="1" x14ac:dyDescent="0.25">
      <c r="A122" s="72" t="s">
        <v>26</v>
      </c>
      <c r="B122" s="62"/>
      <c r="C122" s="62"/>
      <c r="D122" s="62"/>
      <c r="E122" s="62"/>
      <c r="F122" s="62"/>
      <c r="G122" s="62"/>
      <c r="H122" s="62"/>
      <c r="I122" s="62"/>
      <c r="J122" s="62"/>
      <c r="K122" s="63"/>
    </row>
    <row r="123" spans="1:11" ht="13.2" x14ac:dyDescent="0.25">
      <c r="A123" s="29" t="s">
        <v>12</v>
      </c>
      <c r="B123" s="69" t="s">
        <v>13</v>
      </c>
      <c r="C123" s="62"/>
      <c r="D123" s="62"/>
      <c r="E123" s="62"/>
      <c r="F123" s="62"/>
      <c r="G123" s="62"/>
      <c r="H123" s="62"/>
      <c r="I123" s="62"/>
      <c r="J123" s="62"/>
      <c r="K123" s="63"/>
    </row>
    <row r="124" spans="1:11" ht="28.5" customHeight="1" x14ac:dyDescent="0.25">
      <c r="A124" s="30" t="s">
        <v>14</v>
      </c>
      <c r="B124" s="69" t="s">
        <v>15</v>
      </c>
      <c r="C124" s="62"/>
      <c r="D124" s="62"/>
      <c r="E124" s="62"/>
      <c r="F124" s="62"/>
      <c r="G124" s="62"/>
      <c r="H124" s="62"/>
      <c r="I124" s="62"/>
      <c r="J124" s="62"/>
      <c r="K124" s="63"/>
    </row>
    <row r="125" spans="1:11" ht="13.2" x14ac:dyDescent="0.25">
      <c r="A125" s="37"/>
      <c r="B125" s="38"/>
      <c r="C125" s="39" t="s">
        <v>17</v>
      </c>
      <c r="D125" s="38"/>
      <c r="E125" s="40"/>
      <c r="F125" s="40"/>
      <c r="G125" s="41"/>
      <c r="H125" s="41"/>
      <c r="I125" s="41">
        <f t="shared" ref="I125:I135" si="11">H125-G125</f>
        <v>0</v>
      </c>
      <c r="J125" s="45"/>
      <c r="K125" s="43"/>
    </row>
    <row r="126" spans="1:11" ht="13.2" x14ac:dyDescent="0.25">
      <c r="A126" s="37"/>
      <c r="B126" s="38"/>
      <c r="C126" s="39" t="s">
        <v>17</v>
      </c>
      <c r="D126" s="38"/>
      <c r="E126" s="40"/>
      <c r="F126" s="40"/>
      <c r="G126" s="41"/>
      <c r="H126" s="41"/>
      <c r="I126" s="41">
        <f t="shared" si="11"/>
        <v>0</v>
      </c>
      <c r="J126" s="45"/>
      <c r="K126" s="43"/>
    </row>
    <row r="127" spans="1:11" ht="13.2" x14ac:dyDescent="0.25">
      <c r="A127" s="37"/>
      <c r="B127" s="38"/>
      <c r="C127" s="39" t="s">
        <v>17</v>
      </c>
      <c r="D127" s="38"/>
      <c r="E127" s="40"/>
      <c r="F127" s="40"/>
      <c r="G127" s="41"/>
      <c r="H127" s="41"/>
      <c r="I127" s="41">
        <f t="shared" si="11"/>
        <v>0</v>
      </c>
      <c r="J127" s="45"/>
      <c r="K127" s="43"/>
    </row>
    <row r="128" spans="1:11" ht="13.2" x14ac:dyDescent="0.25">
      <c r="A128" s="37"/>
      <c r="B128" s="38"/>
      <c r="C128" s="39" t="s">
        <v>17</v>
      </c>
      <c r="D128" s="38"/>
      <c r="E128" s="40"/>
      <c r="F128" s="40"/>
      <c r="G128" s="41"/>
      <c r="H128" s="41"/>
      <c r="I128" s="41">
        <f t="shared" si="11"/>
        <v>0</v>
      </c>
      <c r="J128" s="45"/>
      <c r="K128" s="43"/>
    </row>
    <row r="129" spans="1:11" ht="13.2" x14ac:dyDescent="0.25">
      <c r="A129" s="37"/>
      <c r="B129" s="38"/>
      <c r="C129" s="39" t="s">
        <v>17</v>
      </c>
      <c r="D129" s="38"/>
      <c r="E129" s="40"/>
      <c r="F129" s="40"/>
      <c r="G129" s="41"/>
      <c r="H129" s="41"/>
      <c r="I129" s="41">
        <f t="shared" si="11"/>
        <v>0</v>
      </c>
      <c r="J129" s="45"/>
      <c r="K129" s="43"/>
    </row>
    <row r="130" spans="1:11" ht="13.2" x14ac:dyDescent="0.25">
      <c r="A130" s="37"/>
      <c r="B130" s="38"/>
      <c r="C130" s="39" t="s">
        <v>17</v>
      </c>
      <c r="D130" s="38"/>
      <c r="E130" s="40"/>
      <c r="F130" s="40"/>
      <c r="G130" s="41"/>
      <c r="H130" s="41"/>
      <c r="I130" s="41">
        <f t="shared" si="11"/>
        <v>0</v>
      </c>
      <c r="J130" s="45"/>
      <c r="K130" s="43"/>
    </row>
    <row r="131" spans="1:11" ht="13.2" x14ac:dyDescent="0.25">
      <c r="A131" s="37"/>
      <c r="B131" s="38"/>
      <c r="C131" s="39" t="s">
        <v>17</v>
      </c>
      <c r="D131" s="38"/>
      <c r="E131" s="40"/>
      <c r="F131" s="40"/>
      <c r="G131" s="41"/>
      <c r="H131" s="41"/>
      <c r="I131" s="41">
        <f t="shared" si="11"/>
        <v>0</v>
      </c>
      <c r="J131" s="45"/>
      <c r="K131" s="43"/>
    </row>
    <row r="132" spans="1:11" ht="13.2" x14ac:dyDescent="0.25">
      <c r="A132" s="37"/>
      <c r="B132" s="38"/>
      <c r="C132" s="39" t="s">
        <v>17</v>
      </c>
      <c r="D132" s="38"/>
      <c r="E132" s="40"/>
      <c r="F132" s="40"/>
      <c r="G132" s="41"/>
      <c r="H132" s="41"/>
      <c r="I132" s="41">
        <f t="shared" si="11"/>
        <v>0</v>
      </c>
      <c r="J132" s="45"/>
      <c r="K132" s="43"/>
    </row>
    <row r="133" spans="1:11" ht="13.2" x14ac:dyDescent="0.25">
      <c r="A133" s="37"/>
      <c r="B133" s="38"/>
      <c r="C133" s="39" t="s">
        <v>17</v>
      </c>
      <c r="D133" s="38"/>
      <c r="E133" s="40"/>
      <c r="F133" s="40"/>
      <c r="G133" s="41"/>
      <c r="H133" s="41"/>
      <c r="I133" s="41">
        <f t="shared" si="11"/>
        <v>0</v>
      </c>
      <c r="J133" s="45"/>
      <c r="K133" s="43"/>
    </row>
    <row r="134" spans="1:11" ht="13.2" x14ac:dyDescent="0.25">
      <c r="A134" s="37"/>
      <c r="B134" s="38"/>
      <c r="C134" s="39" t="s">
        <v>17</v>
      </c>
      <c r="D134" s="38"/>
      <c r="E134" s="40"/>
      <c r="F134" s="40"/>
      <c r="G134" s="41"/>
      <c r="H134" s="41"/>
      <c r="I134" s="41">
        <f t="shared" si="11"/>
        <v>0</v>
      </c>
      <c r="J134" s="45"/>
      <c r="K134" s="43"/>
    </row>
    <row r="135" spans="1:11" ht="13.2" x14ac:dyDescent="0.25">
      <c r="A135" s="13"/>
      <c r="B135" s="15"/>
      <c r="C135" s="15"/>
      <c r="D135" s="15"/>
      <c r="E135" s="15" t="s">
        <v>18</v>
      </c>
      <c r="F135" s="15"/>
      <c r="G135" s="18">
        <f t="shared" ref="G135:H135" si="12">SUM(G125:G134)</f>
        <v>0</v>
      </c>
      <c r="H135" s="18">
        <f t="shared" si="12"/>
        <v>0</v>
      </c>
      <c r="I135" s="18">
        <f t="shared" si="11"/>
        <v>0</v>
      </c>
      <c r="J135" s="19"/>
      <c r="K135" s="46"/>
    </row>
    <row r="136" spans="1:11" ht="18.75" customHeight="1" x14ac:dyDescent="0.25">
      <c r="A136" s="54" t="s">
        <v>27</v>
      </c>
      <c r="B136" s="55"/>
      <c r="C136" s="55"/>
      <c r="D136" s="55"/>
      <c r="E136" s="55"/>
      <c r="F136" s="55"/>
      <c r="G136" s="55"/>
      <c r="H136" s="55"/>
      <c r="I136" s="55"/>
      <c r="J136" s="55"/>
      <c r="K136" s="56"/>
    </row>
    <row r="137" spans="1:11" ht="13.2" x14ac:dyDescent="0.25">
      <c r="A137" s="32" t="s">
        <v>12</v>
      </c>
      <c r="B137" s="57" t="s">
        <v>13</v>
      </c>
      <c r="C137" s="55"/>
      <c r="D137" s="55"/>
      <c r="E137" s="55"/>
      <c r="F137" s="55"/>
      <c r="G137" s="55"/>
      <c r="H137" s="55"/>
      <c r="I137" s="55"/>
      <c r="J137" s="55"/>
      <c r="K137" s="56"/>
    </row>
    <row r="138" spans="1:11" ht="28.5" customHeight="1" x14ac:dyDescent="0.25">
      <c r="A138" s="33" t="s">
        <v>14</v>
      </c>
      <c r="B138" s="57" t="s">
        <v>15</v>
      </c>
      <c r="C138" s="55"/>
      <c r="D138" s="55"/>
      <c r="E138" s="55"/>
      <c r="F138" s="55"/>
      <c r="G138" s="55"/>
      <c r="H138" s="55"/>
      <c r="I138" s="55"/>
      <c r="J138" s="55"/>
      <c r="K138" s="56"/>
    </row>
    <row r="139" spans="1:11" ht="13.2" x14ac:dyDescent="0.25">
      <c r="A139" s="37"/>
      <c r="B139" s="38"/>
      <c r="C139" s="39" t="s">
        <v>17</v>
      </c>
      <c r="D139" s="38"/>
      <c r="E139" s="40"/>
      <c r="F139" s="40"/>
      <c r="G139" s="41"/>
      <c r="H139" s="41"/>
      <c r="I139" s="41">
        <f t="shared" ref="I139:I149" si="13">H139-G139</f>
        <v>0</v>
      </c>
      <c r="J139" s="45"/>
      <c r="K139" s="43"/>
    </row>
    <row r="140" spans="1:11" ht="13.2" x14ac:dyDescent="0.25">
      <c r="A140" s="37"/>
      <c r="B140" s="38"/>
      <c r="C140" s="39" t="s">
        <v>17</v>
      </c>
      <c r="D140" s="38"/>
      <c r="E140" s="40"/>
      <c r="F140" s="40"/>
      <c r="G140" s="41"/>
      <c r="H140" s="41"/>
      <c r="I140" s="41">
        <f t="shared" si="13"/>
        <v>0</v>
      </c>
      <c r="J140" s="45"/>
      <c r="K140" s="43"/>
    </row>
    <row r="141" spans="1:11" ht="13.2" x14ac:dyDescent="0.25">
      <c r="A141" s="37"/>
      <c r="B141" s="38"/>
      <c r="C141" s="39" t="s">
        <v>17</v>
      </c>
      <c r="D141" s="38"/>
      <c r="E141" s="40"/>
      <c r="F141" s="40"/>
      <c r="G141" s="41"/>
      <c r="H141" s="41"/>
      <c r="I141" s="41">
        <f t="shared" si="13"/>
        <v>0</v>
      </c>
      <c r="J141" s="45"/>
      <c r="K141" s="43"/>
    </row>
    <row r="142" spans="1:11" ht="13.2" x14ac:dyDescent="0.25">
      <c r="A142" s="37"/>
      <c r="B142" s="38"/>
      <c r="C142" s="39" t="s">
        <v>17</v>
      </c>
      <c r="D142" s="38"/>
      <c r="E142" s="40"/>
      <c r="F142" s="40"/>
      <c r="G142" s="41"/>
      <c r="H142" s="41"/>
      <c r="I142" s="41">
        <f t="shared" si="13"/>
        <v>0</v>
      </c>
      <c r="J142" s="45"/>
      <c r="K142" s="43"/>
    </row>
    <row r="143" spans="1:11" ht="13.2" x14ac:dyDescent="0.25">
      <c r="A143" s="37"/>
      <c r="B143" s="38"/>
      <c r="C143" s="39" t="s">
        <v>17</v>
      </c>
      <c r="D143" s="38"/>
      <c r="E143" s="40"/>
      <c r="F143" s="40"/>
      <c r="G143" s="41"/>
      <c r="H143" s="41"/>
      <c r="I143" s="41">
        <f t="shared" si="13"/>
        <v>0</v>
      </c>
      <c r="J143" s="45"/>
      <c r="K143" s="43"/>
    </row>
    <row r="144" spans="1:11" ht="13.2" x14ac:dyDescent="0.25">
      <c r="A144" s="37"/>
      <c r="B144" s="38"/>
      <c r="C144" s="39" t="s">
        <v>17</v>
      </c>
      <c r="D144" s="38"/>
      <c r="E144" s="40"/>
      <c r="F144" s="40"/>
      <c r="G144" s="41"/>
      <c r="H144" s="41"/>
      <c r="I144" s="41">
        <f t="shared" si="13"/>
        <v>0</v>
      </c>
      <c r="J144" s="45"/>
      <c r="K144" s="43"/>
    </row>
    <row r="145" spans="1:11" ht="13.2" x14ac:dyDescent="0.25">
      <c r="A145" s="37"/>
      <c r="B145" s="38"/>
      <c r="C145" s="39" t="s">
        <v>17</v>
      </c>
      <c r="D145" s="38"/>
      <c r="E145" s="40"/>
      <c r="F145" s="40"/>
      <c r="G145" s="41"/>
      <c r="H145" s="41"/>
      <c r="I145" s="41">
        <f t="shared" si="13"/>
        <v>0</v>
      </c>
      <c r="J145" s="45"/>
      <c r="K145" s="43"/>
    </row>
    <row r="146" spans="1:11" ht="13.2" x14ac:dyDescent="0.25">
      <c r="A146" s="37"/>
      <c r="B146" s="38"/>
      <c r="C146" s="39" t="s">
        <v>17</v>
      </c>
      <c r="D146" s="38"/>
      <c r="E146" s="40"/>
      <c r="F146" s="40"/>
      <c r="G146" s="41"/>
      <c r="H146" s="41"/>
      <c r="I146" s="41">
        <f t="shared" si="13"/>
        <v>0</v>
      </c>
      <c r="J146" s="45"/>
      <c r="K146" s="43"/>
    </row>
    <row r="147" spans="1:11" ht="13.2" x14ac:dyDescent="0.25">
      <c r="A147" s="37"/>
      <c r="B147" s="38"/>
      <c r="C147" s="39" t="s">
        <v>17</v>
      </c>
      <c r="D147" s="38"/>
      <c r="E147" s="40"/>
      <c r="F147" s="40"/>
      <c r="G147" s="41"/>
      <c r="H147" s="41"/>
      <c r="I147" s="41">
        <f t="shared" si="13"/>
        <v>0</v>
      </c>
      <c r="J147" s="45"/>
      <c r="K147" s="43"/>
    </row>
    <row r="148" spans="1:11" ht="13.2" x14ac:dyDescent="0.25">
      <c r="A148" s="37"/>
      <c r="B148" s="38"/>
      <c r="C148" s="39" t="s">
        <v>17</v>
      </c>
      <c r="D148" s="38"/>
      <c r="E148" s="40"/>
      <c r="F148" s="40"/>
      <c r="G148" s="41"/>
      <c r="H148" s="41"/>
      <c r="I148" s="41">
        <f t="shared" si="13"/>
        <v>0</v>
      </c>
      <c r="J148" s="45"/>
      <c r="K148" s="43"/>
    </row>
    <row r="149" spans="1:11" ht="13.2" x14ac:dyDescent="0.25">
      <c r="A149" s="48"/>
      <c r="B149" s="49"/>
      <c r="C149" s="49"/>
      <c r="D149" s="49"/>
      <c r="E149" s="49" t="s">
        <v>18</v>
      </c>
      <c r="F149" s="49"/>
      <c r="G149" s="50">
        <f t="shared" ref="G149:H149" si="14">SUM(G139:G148)</f>
        <v>0</v>
      </c>
      <c r="H149" s="50">
        <f t="shared" si="14"/>
        <v>0</v>
      </c>
      <c r="I149" s="50">
        <f t="shared" si="13"/>
        <v>0</v>
      </c>
      <c r="J149" s="51"/>
      <c r="K149" s="52"/>
    </row>
  </sheetData>
  <autoFilter ref="A1:K45" xr:uid="{00000000-0009-0000-0000-000000000000}"/>
  <customSheetViews>
    <customSheetView guid="{8BAC9A6B-5D32-4E8D-967D-E17D357516F8}" filter="1" showAutoFilter="1">
      <pageMargins left="0" right="0" top="0" bottom="0" header="0" footer="0"/>
      <autoFilter ref="A1:K15" xr:uid="{E618F7EC-EE6C-4EC9-803D-CB7D6E0706F7}">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B109:K109"/>
    <mergeCell ref="B110:K110"/>
    <mergeCell ref="A122:K122"/>
    <mergeCell ref="B82:K82"/>
    <mergeCell ref="A94:K94"/>
    <mergeCell ref="B95:K95"/>
    <mergeCell ref="B96:K96"/>
    <mergeCell ref="A108:K108"/>
    <mergeCell ref="A136:K136"/>
    <mergeCell ref="B137:K137"/>
    <mergeCell ref="B138:K138"/>
    <mergeCell ref="A2:K2"/>
    <mergeCell ref="B3:K3"/>
    <mergeCell ref="B4:K4"/>
    <mergeCell ref="A46:K46"/>
    <mergeCell ref="B47:K47"/>
    <mergeCell ref="B48:K48"/>
    <mergeCell ref="A66:K66"/>
    <mergeCell ref="B67:K67"/>
    <mergeCell ref="B68:K68"/>
    <mergeCell ref="A80:K80"/>
    <mergeCell ref="B123:K123"/>
    <mergeCell ref="B124:K124"/>
    <mergeCell ref="B81:K81"/>
  </mergeCells>
  <conditionalFormatting sqref="B5:B44 B47:B64 B69:B78 B83:B92 B97:B106 B111:B120 B125:B134">
    <cfRule type="containsText" dxfId="15" priority="6" operator="containsText" text="Unplanned">
      <formula>NOT(ISERROR(SEARCH(("Unplanned"),(B5))))</formula>
    </cfRule>
    <cfRule type="containsText" dxfId="14" priority="7" operator="containsText" text="Planned">
      <formula>NOT(ISERROR(SEARCH(("Planned"),(B5))))</formula>
    </cfRule>
    <cfRule type="containsText" dxfId="13" priority="8" operator="containsText" text="In-Progress">
      <formula>NOT(ISERROR(SEARCH(("In-Progress"),(B5))))</formula>
    </cfRule>
    <cfRule type="containsText" dxfId="12" priority="9" operator="containsText" text="Blocked">
      <formula>NOT(ISERROR(SEARCH(("Blocked"),(B5))))</formula>
    </cfRule>
    <cfRule type="containsText" dxfId="11" priority="10" operator="containsText" text="Done">
      <formula>NOT(ISERROR(SEARCH(("Done"),(B5))))</formula>
    </cfRule>
  </conditionalFormatting>
  <conditionalFormatting sqref="B5:B45 B47:B65 B67:B79 B81:B93 B95:B107 B109:B121 B123:B135 B137:B149">
    <cfRule type="containsText" dxfId="10" priority="11" operator="containsText" text="Unplanned">
      <formula>NOT(ISERROR(SEARCH(("Unplanned"),(B5))))</formula>
    </cfRule>
    <cfRule type="containsText" dxfId="9" priority="12" operator="containsText" text="Cancelled">
      <formula>NOT(ISERROR(SEARCH(("Cancelled"),(B5))))</formula>
    </cfRule>
  </conditionalFormatting>
  <conditionalFormatting sqref="B139:B148">
    <cfRule type="containsText" dxfId="8" priority="1" operator="containsText" text="Unplanned">
      <formula>NOT(ISERROR(SEARCH(("Unplanned"),(B139))))</formula>
    </cfRule>
    <cfRule type="containsText" dxfId="7" priority="2" operator="containsText" text="Planned">
      <formula>NOT(ISERROR(SEARCH(("Planned"),(B139))))</formula>
    </cfRule>
    <cfRule type="containsText" dxfId="6" priority="3" operator="containsText" text="In-Progress">
      <formula>NOT(ISERROR(SEARCH(("In-Progress"),(B139))))</formula>
    </cfRule>
    <cfRule type="containsText" dxfId="5" priority="4" operator="containsText" text="Blocked">
      <formula>NOT(ISERROR(SEARCH(("Blocked"),(B139))))</formula>
    </cfRule>
    <cfRule type="containsText" dxfId="4" priority="5" operator="containsText" text="Done">
      <formula>NOT(ISERROR(SEARCH(("Done"),(B139))))</formula>
    </cfRule>
  </conditionalFormatting>
  <conditionalFormatting sqref="G1 G3:G45 G49:G65 G69:G79 G83:G93 G97:G107 G111:G121 G125:G135 G139:G149">
    <cfRule type="cellIs" dxfId="3" priority="15" operator="greaterThan">
      <formula>4</formula>
    </cfRule>
  </conditionalFormatting>
  <conditionalFormatting sqref="H1:H149">
    <cfRule type="containsBlanks" dxfId="2" priority="16">
      <formula>LEN(TRIM(H1))=0</formula>
    </cfRule>
  </conditionalFormatting>
  <conditionalFormatting sqref="I5:I45 I49:I65 I69:I79 I83:I93 I97:I107 I111:I121 I125:I135 I139:I149">
    <cfRule type="expression" dxfId="1" priority="13">
      <formula>H5/G5&gt;=1.5</formula>
    </cfRule>
    <cfRule type="expression" dxfId="0" priority="14">
      <formula>H5/G5&lt;=0.5</formula>
    </cfRule>
  </conditionalFormatting>
  <dataValidations count="1">
    <dataValidation type="list" allowBlank="1" sqref="F139:F148 F125:F134 F49:F64 F69:F78 F83:F92 F97:F106 F111:F120 F5:F44" xr:uid="{0FAB3063-668E-4727-8636-10D0A6594410}">
      <formula1>"ILO 0.2, ILO 1.2, ILO 2.2, ILO 6.2, ILO 8.1, ILO 8.2, ILO 11.1"</formula1>
    </dataValidation>
  </dataValidations>
  <hyperlinks>
    <hyperlink ref="J29" r:id="rId1" xr:uid="{0999D960-5356-4EE8-BA28-70F36BB764AC}"/>
  </hyperlinks>
  <pageMargins left="0.7" right="0.7" top="0.75" bottom="0.75" header="0.3" footer="0.3"/>
  <pageSetup paperSize="9" scale="52" fitToHeight="0" orientation="landscape" horizontalDpi="1200" verticalDpi="1200" r:id="rId2"/>
  <extLst>
    <ext xmlns:x14="http://schemas.microsoft.com/office/spreadsheetml/2009/9/main" uri="{CCE6A557-97BC-4b89-ADB6-D9C93CAAB3DF}">
      <x14:dataValidations xmlns:xm="http://schemas.microsoft.com/office/excel/2006/main" count="2">
        <x14:dataValidation type="list" allowBlank="1" xr:uid="{00000000-0002-0000-0000-000001000000}">
          <x14:formula1>
            <xm:f>'Drop-downs'!$B$2:$B$16</xm:f>
          </x14:formula1>
          <xm:sqref>E5:E44 E49:E64 E69:E78 E83:E92 E97:E106 E111:E120 E125:E134 E139:E148</xm:sqref>
        </x14:dataValidation>
        <x14:dataValidation type="list" allowBlank="1" xr:uid="{00000000-0002-0000-0000-000002000000}">
          <x14:formula1>
            <xm:f>'Drop-downs'!$A$2:$A$9</xm:f>
          </x14:formula1>
          <xm:sqref>B5:B44 B49:B64 B69:B78 B83:B92 B97:B106 B111:B120 B125:B134 B139:B148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3"/>
  <sheetViews>
    <sheetView workbookViewId="0">
      <selection activeCell="D5" sqref="D5"/>
    </sheetView>
  </sheetViews>
  <sheetFormatPr defaultColWidth="14.44140625" defaultRowHeight="15" customHeight="1" x14ac:dyDescent="0.25"/>
  <cols>
    <col min="2" max="2" width="27" customWidth="1"/>
    <col min="11" max="11" width="20.44140625" customWidth="1"/>
  </cols>
  <sheetData>
    <row r="2" spans="2:11" ht="13.8" x14ac:dyDescent="0.3">
      <c r="B2" s="11" t="s">
        <v>28</v>
      </c>
      <c r="C2" s="2" t="s">
        <v>29</v>
      </c>
      <c r="D2" s="2" t="s">
        <v>30</v>
      </c>
      <c r="E2" s="2" t="s">
        <v>31</v>
      </c>
      <c r="F2" s="2" t="s">
        <v>32</v>
      </c>
      <c r="G2" s="2" t="s">
        <v>33</v>
      </c>
      <c r="H2" s="2" t="s">
        <v>34</v>
      </c>
      <c r="I2" s="2" t="s">
        <v>35</v>
      </c>
      <c r="J2" s="2" t="s">
        <v>36</v>
      </c>
      <c r="K2" s="3" t="s">
        <v>37</v>
      </c>
    </row>
    <row r="3" spans="2:11" ht="13.8" x14ac:dyDescent="0.3">
      <c r="B3" s="4" t="str">
        <f>'Drop-downs'!C2</f>
        <v>-</v>
      </c>
      <c r="C3" s="6"/>
      <c r="D3" s="6"/>
      <c r="E3" s="6"/>
      <c r="F3" s="6"/>
      <c r="G3" s="6"/>
      <c r="H3" s="6"/>
      <c r="I3" s="6"/>
      <c r="J3" s="6"/>
      <c r="K3" s="7">
        <f t="shared" ref="K3:K9" si="0">SUM(C3:J3)</f>
        <v>0</v>
      </c>
    </row>
    <row r="4" spans="2:11" ht="13.8" x14ac:dyDescent="0.3">
      <c r="B4" s="4" t="str">
        <f>'Drop-downs'!C3</f>
        <v>ILO 0.3</v>
      </c>
      <c r="C4" s="10" cm="1">
        <f t="array" ref="C4">IFERROR(SUM(_xlfn._xlws.FILTER('Worklog_Tasks&amp;Times'!$H$5:$H$17,'Worklog_Tasks&amp;Times'!$F$5:$F$17=$B4)),0)</f>
        <v>0</v>
      </c>
      <c r="D4" s="10" cm="1">
        <f t="array" ref="D4">IFERROR(SUM(_xlfn._xlws.FILTER('Worklog_Tasks&amp;Times'!$H$49:$H$64,'Worklog_Tasks&amp;Times'!$F$5:$F$17=$B4)),0)</f>
        <v>0</v>
      </c>
      <c r="E4" s="10" cm="1">
        <f t="array" ref="E4">IFERROR(SUM(_xlfn._xlws.FILTER('Worklog_Tasks&amp;Times'!$H$5:$H$17,'Worklog_Tasks&amp;Times'!$F$5:$F$17=$B4)),0)</f>
        <v>0</v>
      </c>
      <c r="F4" s="10" cm="1">
        <f t="array" ref="F4">IFERROR(SUM(_xlfn._xlws.FILTER('Worklog_Tasks&amp;Times'!$H$5:$H$17,'Worklog_Tasks&amp;Times'!$F$5:$F$17=$B4)),0)</f>
        <v>0</v>
      </c>
      <c r="G4" s="10" cm="1">
        <f t="array" ref="G4">IFERROR(SUM(_xlfn._xlws.FILTER('Worklog_Tasks&amp;Times'!$H$5:$H$17,'Worklog_Tasks&amp;Times'!$F$5:$F$17=$B4)),0)</f>
        <v>0</v>
      </c>
      <c r="H4" s="10" cm="1">
        <f t="array" ref="H4">IFERROR(SUM(_xlfn._xlws.FILTER('Worklog_Tasks&amp;Times'!$H$5:$H$17,'Worklog_Tasks&amp;Times'!$F$5:$F$17=$B4)),0)</f>
        <v>0</v>
      </c>
      <c r="I4" s="10" cm="1">
        <f t="array" ref="I4">IFERROR(SUM(_xlfn._xlws.FILTER('Worklog_Tasks&amp;Times'!$H$5:$H$17,'Worklog_Tasks&amp;Times'!$F$5:$F$17=$B4)),0)</f>
        <v>0</v>
      </c>
      <c r="J4" s="10" cm="1">
        <f t="array" ref="J4">IFERROR(SUM(_xlfn._xlws.FILTER('Worklog_Tasks&amp;Times'!$H$5:$H$17,'Worklog_Tasks&amp;Times'!$F$5:$F$17=$B4)),0)</f>
        <v>0</v>
      </c>
      <c r="K4" s="7">
        <f t="shared" si="0"/>
        <v>0</v>
      </c>
    </row>
    <row r="5" spans="2:11" ht="13.8" x14ac:dyDescent="0.3">
      <c r="B5" s="4" t="str">
        <f>'Drop-downs'!C4</f>
        <v>ILO 1.5</v>
      </c>
      <c r="C5" s="10" cm="1">
        <f t="array" ref="C5">IFERROR(SUM(_xlfn._xlws.FILTER('Worklog_Tasks&amp;Times'!$H$5:$H$17,'Worklog_Tasks&amp;Times'!$F$5:$F$17=$B5)),0)</f>
        <v>0</v>
      </c>
      <c r="D5" s="10" cm="1">
        <f t="array" ref="D5">IFERROR(SUM(_xlfn._xlws.FILTER('Worklog_Tasks&amp;Times'!$H$5:$H$17,'Worklog_Tasks&amp;Times'!$F$5:$F$17=$B5)),0)</f>
        <v>0</v>
      </c>
      <c r="E5" s="10" cm="1">
        <f t="array" ref="E5">IFERROR(SUM(_xlfn._xlws.FILTER('Worklog_Tasks&amp;Times'!$H$5:$H$17,'Worklog_Tasks&amp;Times'!$F$5:$F$17=$B5)),0)</f>
        <v>0</v>
      </c>
      <c r="F5" s="10" cm="1">
        <f t="array" ref="F5">IFERROR(SUM(_xlfn._xlws.FILTER('Worklog_Tasks&amp;Times'!$H$5:$H$17,'Worklog_Tasks&amp;Times'!$F$5:$F$17=$B5)),0)</f>
        <v>0</v>
      </c>
      <c r="G5" s="10" cm="1">
        <f t="array" ref="G5">IFERROR(SUM(_xlfn._xlws.FILTER('Worklog_Tasks&amp;Times'!$H$5:$H$17,'Worklog_Tasks&amp;Times'!$F$5:$F$17=$B5)),0)</f>
        <v>0</v>
      </c>
      <c r="H5" s="10" cm="1">
        <f t="array" ref="H5">IFERROR(SUM(_xlfn._xlws.FILTER('Worklog_Tasks&amp;Times'!$H$5:$H$17,'Worklog_Tasks&amp;Times'!$F$5:$F$17=$B5)),0)</f>
        <v>0</v>
      </c>
      <c r="I5" s="10" cm="1">
        <f t="array" ref="I5">IFERROR(SUM(_xlfn._xlws.FILTER('Worklog_Tasks&amp;Times'!$H$5:$H$17,'Worklog_Tasks&amp;Times'!$F$5:$F$17=$B5)),0)</f>
        <v>0</v>
      </c>
      <c r="J5" s="10" cm="1">
        <f t="array" ref="J5">IFERROR(SUM(_xlfn._xlws.FILTER('Worklog_Tasks&amp;Times'!$H$5:$H$17,'Worklog_Tasks&amp;Times'!$F$5:$F$17=$B5)),0)</f>
        <v>0</v>
      </c>
      <c r="K5" s="7">
        <f t="shared" si="0"/>
        <v>0</v>
      </c>
    </row>
    <row r="6" spans="2:11" ht="13.8" x14ac:dyDescent="0.3">
      <c r="B6" s="4" t="str">
        <f>'Drop-downs'!C5</f>
        <v>ILO 2.5</v>
      </c>
      <c r="C6" s="10" cm="1">
        <f t="array" ref="C6">IFERROR(SUM(_xlfn._xlws.FILTER('Worklog_Tasks&amp;Times'!$H$5:$H$17,'Worklog_Tasks&amp;Times'!$F$5:$F$17=$B6)),0)</f>
        <v>0</v>
      </c>
      <c r="D6" s="10" cm="1">
        <f t="array" ref="D6">IFERROR(SUM(_xlfn._xlws.FILTER('Worklog_Tasks&amp;Times'!$H$5:$H$17,'Worklog_Tasks&amp;Times'!$F$5:$F$17=$B6)),0)</f>
        <v>0</v>
      </c>
      <c r="E6" s="10" cm="1">
        <f t="array" ref="E6">IFERROR(SUM(_xlfn._xlws.FILTER('Worklog_Tasks&amp;Times'!$H$5:$H$17,'Worklog_Tasks&amp;Times'!$F$5:$F$17=$B6)),0)</f>
        <v>0</v>
      </c>
      <c r="F6" s="10" cm="1">
        <f t="array" ref="F6">IFERROR(SUM(_xlfn._xlws.FILTER('Worklog_Tasks&amp;Times'!$H$5:$H$17,'Worklog_Tasks&amp;Times'!$F$5:$F$17=$B6)),0)</f>
        <v>0</v>
      </c>
      <c r="G6" s="10" cm="1">
        <f t="array" ref="G6">IFERROR(SUM(_xlfn._xlws.FILTER('Worklog_Tasks&amp;Times'!$H$5:$H$17,'Worklog_Tasks&amp;Times'!$F$5:$F$17=$B6)),0)</f>
        <v>0</v>
      </c>
      <c r="H6" s="10" cm="1">
        <f t="array" ref="H6">IFERROR(SUM(_xlfn._xlws.FILTER('Worklog_Tasks&amp;Times'!$H$5:$H$17,'Worklog_Tasks&amp;Times'!$F$5:$F$17=$B6)),0)</f>
        <v>0</v>
      </c>
      <c r="I6" s="10" cm="1">
        <f t="array" ref="I6">IFERROR(SUM(_xlfn._xlws.FILTER('Worklog_Tasks&amp;Times'!$H$5:$H$17,'Worklog_Tasks&amp;Times'!$F$5:$F$17=$B6)),0)</f>
        <v>0</v>
      </c>
      <c r="J6" s="10" cm="1">
        <f t="array" ref="J6">IFERROR(SUM(_xlfn._xlws.FILTER('Worklog_Tasks&amp;Times'!$H$5:$H$17,'Worklog_Tasks&amp;Times'!$F$5:$F$17=$B6)),0)</f>
        <v>0</v>
      </c>
      <c r="K6" s="7">
        <f t="shared" si="0"/>
        <v>0</v>
      </c>
    </row>
    <row r="7" spans="2:11" ht="13.8" x14ac:dyDescent="0.3">
      <c r="B7" s="4" t="str">
        <f>'Drop-downs'!C6</f>
        <v>ILO 3.5</v>
      </c>
      <c r="C7" s="10" cm="1">
        <f t="array" ref="C7">IFERROR(SUM(_xlfn._xlws.FILTER('Worklog_Tasks&amp;Times'!$H$5:$H$17,'Worklog_Tasks&amp;Times'!$F$5:$F$17=$B7)),0)</f>
        <v>0</v>
      </c>
      <c r="D7" s="10" cm="1">
        <f t="array" ref="D7">IFERROR(SUM(_xlfn._xlws.FILTER('Worklog_Tasks&amp;Times'!$H$5:$H$17,'Worklog_Tasks&amp;Times'!$F$5:$F$17=$B7)),0)</f>
        <v>0</v>
      </c>
      <c r="E7" s="10" cm="1">
        <f t="array" ref="E7">IFERROR(SUM(_xlfn._xlws.FILTER('Worklog_Tasks&amp;Times'!$H$5:$H$17,'Worklog_Tasks&amp;Times'!$F$5:$F$17=$B7)),0)</f>
        <v>0</v>
      </c>
      <c r="F7" s="10" cm="1">
        <f t="array" ref="F7">IFERROR(SUM(_xlfn._xlws.FILTER('Worklog_Tasks&amp;Times'!$H$5:$H$17,'Worklog_Tasks&amp;Times'!$F$5:$F$17=$B7)),0)</f>
        <v>0</v>
      </c>
      <c r="G7" s="10" cm="1">
        <f t="array" ref="G7">IFERROR(SUM(_xlfn._xlws.FILTER('Worklog_Tasks&amp;Times'!$H$5:$H$17,'Worklog_Tasks&amp;Times'!$F$5:$F$17=$B7)),0)</f>
        <v>0</v>
      </c>
      <c r="H7" s="10" cm="1">
        <f t="array" ref="H7">IFERROR(SUM(_xlfn._xlws.FILTER('Worklog_Tasks&amp;Times'!$H$5:$H$17,'Worklog_Tasks&amp;Times'!$F$5:$F$17=$B7)),0)</f>
        <v>0</v>
      </c>
      <c r="I7" s="10" cm="1">
        <f t="array" ref="I7">IFERROR(SUM(_xlfn._xlws.FILTER('Worklog_Tasks&amp;Times'!$H$5:$H$17,'Worklog_Tasks&amp;Times'!$F$5:$F$17=$B7)),0)</f>
        <v>0</v>
      </c>
      <c r="J7" s="10" cm="1">
        <f t="array" ref="J7">IFERROR(SUM(_xlfn._xlws.FILTER('Worklog_Tasks&amp;Times'!$H$5:$H$17,'Worklog_Tasks&amp;Times'!$F$5:$F$17=$B7)),0)</f>
        <v>0</v>
      </c>
      <c r="K7" s="7">
        <f t="shared" si="0"/>
        <v>0</v>
      </c>
    </row>
    <row r="8" spans="2:11" ht="13.8" x14ac:dyDescent="0.3">
      <c r="B8" s="4" t="str">
        <f>'Drop-downs'!C7</f>
        <v>ILO 4.4</v>
      </c>
      <c r="C8" s="10" cm="1">
        <f t="array" ref="C8">IFERROR(SUM(_xlfn._xlws.FILTER('Worklog_Tasks&amp;Times'!$H$5:$H$17,'Worklog_Tasks&amp;Times'!$F$5:$F$17=$B8)),0)</f>
        <v>0</v>
      </c>
      <c r="D8" s="10" cm="1">
        <f t="array" ref="D8">IFERROR(SUM(_xlfn._xlws.FILTER('Worklog_Tasks&amp;Times'!$H$5:$H$17,'Worklog_Tasks&amp;Times'!$F$5:$F$17=$B8)),0)</f>
        <v>0</v>
      </c>
      <c r="E8" s="10" cm="1">
        <f t="array" ref="E8">IFERROR(SUM(_xlfn._xlws.FILTER('Worklog_Tasks&amp;Times'!$H$5:$H$17,'Worklog_Tasks&amp;Times'!$F$5:$F$17=$B8)),0)</f>
        <v>0</v>
      </c>
      <c r="F8" s="10" cm="1">
        <f t="array" ref="F8">IFERROR(SUM(_xlfn._xlws.FILTER('Worklog_Tasks&amp;Times'!$H$5:$H$17,'Worklog_Tasks&amp;Times'!$F$5:$F$17=$B8)),0)</f>
        <v>0</v>
      </c>
      <c r="G8" s="10" cm="1">
        <f t="array" ref="G8">IFERROR(SUM(_xlfn._xlws.FILTER('Worklog_Tasks&amp;Times'!$H$5:$H$17,'Worklog_Tasks&amp;Times'!$F$5:$F$17=$B8)),0)</f>
        <v>0</v>
      </c>
      <c r="H8" s="10" cm="1">
        <f t="array" ref="H8">IFERROR(SUM(_xlfn._xlws.FILTER('Worklog_Tasks&amp;Times'!$H$5:$H$17,'Worklog_Tasks&amp;Times'!$F$5:$F$17=$B8)),0)</f>
        <v>0</v>
      </c>
      <c r="I8" s="10" cm="1">
        <f t="array" ref="I8">IFERROR(SUM(_xlfn._xlws.FILTER('Worklog_Tasks&amp;Times'!$H$5:$H$17,'Worklog_Tasks&amp;Times'!$F$5:$F$17=$B8)),0)</f>
        <v>0</v>
      </c>
      <c r="J8" s="10" cm="1">
        <f t="array" ref="J8">IFERROR(SUM(_xlfn._xlws.FILTER('Worklog_Tasks&amp;Times'!$H$5:$H$17,'Worklog_Tasks&amp;Times'!$F$5:$F$17=$B8)),0)</f>
        <v>0</v>
      </c>
      <c r="K8" s="7">
        <f t="shared" ref="K8" si="1">SUM(C8:J8)</f>
        <v>0</v>
      </c>
    </row>
    <row r="9" spans="2:11" ht="13.8" x14ac:dyDescent="0.3">
      <c r="B9" s="4" t="str">
        <f>'Drop-downs'!C8</f>
        <v>ILO 7.3</v>
      </c>
      <c r="C9" s="10" cm="1">
        <f t="array" ref="C9">IFERROR(SUM(_xlfn._xlws.FILTER('Worklog_Tasks&amp;Times'!$H$5:$H$17,'Worklog_Tasks&amp;Times'!$F$5:$F$17=$B9)),0)</f>
        <v>0</v>
      </c>
      <c r="D9" s="10" cm="1">
        <f t="array" ref="D9">IFERROR(SUM(_xlfn._xlws.FILTER('Worklog_Tasks&amp;Times'!$H$5:$H$17,'Worklog_Tasks&amp;Times'!$F$5:$F$17=$B9)),0)</f>
        <v>0</v>
      </c>
      <c r="E9" s="10" cm="1">
        <f t="array" ref="E9">IFERROR(SUM(_xlfn._xlws.FILTER('Worklog_Tasks&amp;Times'!$H$5:$H$17,'Worklog_Tasks&amp;Times'!$F$5:$F$17=$B9)),0)</f>
        <v>0</v>
      </c>
      <c r="F9" s="10" cm="1">
        <f t="array" ref="F9">IFERROR(SUM(_xlfn._xlws.FILTER('Worklog_Tasks&amp;Times'!$H$5:$H$17,'Worklog_Tasks&amp;Times'!$F$5:$F$17=$B9)),0)</f>
        <v>0</v>
      </c>
      <c r="G9" s="10" cm="1">
        <f t="array" ref="G9">IFERROR(SUM(_xlfn._xlws.FILTER('Worklog_Tasks&amp;Times'!$H$5:$H$17,'Worklog_Tasks&amp;Times'!$F$5:$F$17=$B9)),0)</f>
        <v>0</v>
      </c>
      <c r="H9" s="10" cm="1">
        <f t="array" ref="H9">IFERROR(SUM(_xlfn._xlws.FILTER('Worklog_Tasks&amp;Times'!$H$5:$H$17,'Worklog_Tasks&amp;Times'!$F$5:$F$17=$B9)),0)</f>
        <v>0</v>
      </c>
      <c r="I9" s="10" cm="1">
        <f t="array" ref="I9">IFERROR(SUM(_xlfn._xlws.FILTER('Worklog_Tasks&amp;Times'!$H$5:$H$17,'Worklog_Tasks&amp;Times'!$F$5:$F$17=$B9)),0)</f>
        <v>0</v>
      </c>
      <c r="J9" s="10" cm="1">
        <f t="array" ref="J9">IFERROR(SUM(_xlfn._xlws.FILTER('Worklog_Tasks&amp;Times'!$H$5:$H$17,'Worklog_Tasks&amp;Times'!$F$5:$F$17=$B9)),0)</f>
        <v>0</v>
      </c>
      <c r="K9" s="7">
        <f t="shared" si="0"/>
        <v>0</v>
      </c>
    </row>
    <row r="10" spans="2:11" ht="13.8" x14ac:dyDescent="0.3">
      <c r="B10" s="4" t="str">
        <f>'Drop-downs'!C9</f>
        <v>ILO 11.2</v>
      </c>
      <c r="C10" s="10" cm="1">
        <f t="array" ref="C10">IFERROR(SUM(_xlfn._xlws.FILTER('Worklog_Tasks&amp;Times'!$H$5:$H$17,'Worklog_Tasks&amp;Times'!$F$5:$F$17=$B10)),0)</f>
        <v>0</v>
      </c>
      <c r="D10" s="10" cm="1">
        <f t="array" ref="D10">IFERROR(SUM(_xlfn._xlws.FILTER('Worklog_Tasks&amp;Times'!$H$5:$H$17,'Worklog_Tasks&amp;Times'!$F$5:$F$17=$B10)),0)</f>
        <v>0</v>
      </c>
      <c r="E10" s="10" cm="1">
        <f t="array" ref="E10">IFERROR(SUM(_xlfn._xlws.FILTER('Worklog_Tasks&amp;Times'!$H$5:$H$17,'Worklog_Tasks&amp;Times'!$F$5:$F$17=$B10)),0)</f>
        <v>0</v>
      </c>
      <c r="F10" s="10" cm="1">
        <f t="array" ref="F10">IFERROR(SUM(_xlfn._xlws.FILTER('Worklog_Tasks&amp;Times'!$H$5:$H$17,'Worklog_Tasks&amp;Times'!$F$5:$F$17=$B10)),0)</f>
        <v>0</v>
      </c>
      <c r="G10" s="10" cm="1">
        <f t="array" ref="G10">IFERROR(SUM(_xlfn._xlws.FILTER('Worklog_Tasks&amp;Times'!$H$5:$H$17,'Worklog_Tasks&amp;Times'!$F$5:$F$17=$B10)),0)</f>
        <v>0</v>
      </c>
      <c r="H10" s="10" cm="1">
        <f t="array" ref="H10">IFERROR(SUM(_xlfn._xlws.FILTER('Worklog_Tasks&amp;Times'!$H$5:$H$17,'Worklog_Tasks&amp;Times'!$F$5:$F$17=$B10)),0)</f>
        <v>0</v>
      </c>
      <c r="I10" s="10" cm="1">
        <f t="array" ref="I10">IFERROR(SUM(_xlfn._xlws.FILTER('Worklog_Tasks&amp;Times'!$H$5:$H$17,'Worklog_Tasks&amp;Times'!$F$5:$F$17=$B10)),0)</f>
        <v>0</v>
      </c>
      <c r="J10" s="10" cm="1">
        <f t="array" ref="J10">IFERROR(SUM(_xlfn._xlws.FILTER('Worklog_Tasks&amp;Times'!$H$5:$H$17,'Worklog_Tasks&amp;Times'!$F$5:$F$17=$B10)),0)</f>
        <v>0</v>
      </c>
      <c r="K10" s="7">
        <f t="shared" ref="K10" si="2">SUM(C10:J10)</f>
        <v>0</v>
      </c>
    </row>
    <row r="11" spans="2:11" ht="13.8" x14ac:dyDescent="0.3">
      <c r="B11" s="4">
        <f>'Drop-downs'!C10</f>
        <v>0</v>
      </c>
      <c r="C11" s="10"/>
      <c r="D11" s="10"/>
      <c r="E11" s="10"/>
      <c r="F11" s="10"/>
      <c r="G11" s="10"/>
      <c r="H11" s="10"/>
      <c r="I11" s="10"/>
      <c r="J11" s="10"/>
      <c r="K11" s="7">
        <f t="shared" ref="K11" si="3">SUM(C11:J11)</f>
        <v>0</v>
      </c>
    </row>
    <row r="12" spans="2:11" ht="13.8" x14ac:dyDescent="0.3">
      <c r="B12" s="11" t="s">
        <v>38</v>
      </c>
      <c r="C12" s="12">
        <f t="shared" ref="C12:J12" si="4">SUM(C3:C9)</f>
        <v>0</v>
      </c>
      <c r="D12" s="12">
        <f t="shared" si="4"/>
        <v>0</v>
      </c>
      <c r="E12" s="12">
        <f t="shared" si="4"/>
        <v>0</v>
      </c>
      <c r="F12" s="12">
        <f t="shared" si="4"/>
        <v>0</v>
      </c>
      <c r="G12" s="12">
        <f t="shared" si="4"/>
        <v>0</v>
      </c>
      <c r="H12" s="12">
        <f t="shared" si="4"/>
        <v>0</v>
      </c>
      <c r="I12" s="12">
        <f t="shared" si="4"/>
        <v>0</v>
      </c>
      <c r="J12" s="12">
        <f t="shared" si="4"/>
        <v>0</v>
      </c>
      <c r="K12" s="14"/>
    </row>
    <row r="13" spans="2:11" ht="13.8" x14ac:dyDescent="0.3">
      <c r="B13" s="16"/>
      <c r="C13" s="17"/>
      <c r="D13" s="17"/>
      <c r="E13" s="17"/>
      <c r="F13" s="17"/>
      <c r="G13" s="17"/>
      <c r="H13" s="17"/>
      <c r="I13" s="17"/>
      <c r="J13" s="17"/>
      <c r="K13" s="17"/>
    </row>
    <row r="14" spans="2:11" ht="15" customHeight="1" x14ac:dyDescent="0.25">
      <c r="B14" s="76" t="s">
        <v>39</v>
      </c>
      <c r="C14" s="77"/>
      <c r="D14" s="77"/>
      <c r="E14" s="77"/>
      <c r="F14" s="77"/>
      <c r="G14" s="77"/>
      <c r="H14" s="77"/>
      <c r="I14" s="77"/>
      <c r="J14" s="77"/>
      <c r="K14" s="77"/>
    </row>
    <row r="18" spans="2:6" ht="15" customHeight="1" x14ac:dyDescent="0.25">
      <c r="B18" s="9"/>
    </row>
    <row r="19" spans="2:6" ht="15" customHeight="1" x14ac:dyDescent="0.25">
      <c r="B19" s="78" t="s">
        <v>40</v>
      </c>
      <c r="C19" s="78"/>
      <c r="D19" s="78"/>
      <c r="E19" s="78"/>
      <c r="F19" s="78"/>
    </row>
    <row r="20" spans="2:6" ht="15" customHeight="1" x14ac:dyDescent="0.25">
      <c r="B20" s="78"/>
      <c r="C20" s="78"/>
      <c r="D20" s="78"/>
      <c r="E20" s="78"/>
      <c r="F20" s="78"/>
    </row>
    <row r="21" spans="2:6" ht="15" customHeight="1" x14ac:dyDescent="0.25">
      <c r="B21" s="78"/>
      <c r="C21" s="78"/>
      <c r="D21" s="78"/>
      <c r="E21" s="78"/>
      <c r="F21" s="78"/>
    </row>
    <row r="22" spans="2:6" ht="15" customHeight="1" x14ac:dyDescent="0.25">
      <c r="B22" s="78"/>
      <c r="C22" s="78"/>
      <c r="D22" s="78"/>
      <c r="E22" s="78"/>
      <c r="F22" s="78"/>
    </row>
    <row r="23" spans="2:6" ht="15" customHeight="1" x14ac:dyDescent="0.25">
      <c r="B23" s="78"/>
      <c r="C23" s="78"/>
      <c r="D23" s="78"/>
      <c r="E23" s="78"/>
      <c r="F23" s="78"/>
    </row>
  </sheetData>
  <mergeCells count="2">
    <mergeCell ref="B14:K14"/>
    <mergeCell ref="B19:F23"/>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4" sqref="C4"/>
    </sheetView>
  </sheetViews>
  <sheetFormatPr defaultColWidth="14.44140625" defaultRowHeight="15" customHeight="1" x14ac:dyDescent="0.25"/>
  <cols>
    <col min="1" max="6" width="14.44140625" customWidth="1"/>
  </cols>
  <sheetData>
    <row r="1" spans="1:3" ht="15.75" customHeight="1" x14ac:dyDescent="0.25">
      <c r="A1" s="1" t="s">
        <v>41</v>
      </c>
      <c r="B1" s="1" t="s">
        <v>4</v>
      </c>
      <c r="C1" s="1" t="s">
        <v>42</v>
      </c>
    </row>
    <row r="2" spans="1:3" ht="15.75" customHeight="1" x14ac:dyDescent="0.25">
      <c r="A2" t="s">
        <v>16</v>
      </c>
      <c r="B2" t="s">
        <v>16</v>
      </c>
      <c r="C2" s="9" t="s">
        <v>16</v>
      </c>
    </row>
    <row r="3" spans="1:3" ht="15.75" customHeight="1" x14ac:dyDescent="0.25">
      <c r="A3" t="s">
        <v>43</v>
      </c>
      <c r="B3" t="s">
        <v>44</v>
      </c>
      <c r="C3" s="9" t="s">
        <v>45</v>
      </c>
    </row>
    <row r="4" spans="1:3" ht="15.75" customHeight="1" x14ac:dyDescent="0.25">
      <c r="A4" t="s">
        <v>46</v>
      </c>
      <c r="B4" t="s">
        <v>47</v>
      </c>
      <c r="C4" s="9" t="s">
        <v>48</v>
      </c>
    </row>
    <row r="5" spans="1:3" ht="15.75" customHeight="1" x14ac:dyDescent="0.25">
      <c r="A5" t="s">
        <v>49</v>
      </c>
      <c r="B5" t="s">
        <v>50</v>
      </c>
      <c r="C5" s="9" t="s">
        <v>51</v>
      </c>
    </row>
    <row r="6" spans="1:3" ht="15.75" customHeight="1" x14ac:dyDescent="0.25">
      <c r="A6" t="s">
        <v>52</v>
      </c>
      <c r="B6" t="s">
        <v>53</v>
      </c>
      <c r="C6" s="9" t="s">
        <v>54</v>
      </c>
    </row>
    <row r="7" spans="1:3" ht="15.75" customHeight="1" x14ac:dyDescent="0.25">
      <c r="A7" t="s">
        <v>55</v>
      </c>
      <c r="B7" t="s">
        <v>56</v>
      </c>
      <c r="C7" s="9" t="s">
        <v>57</v>
      </c>
    </row>
    <row r="8" spans="1:3" ht="15.75" customHeight="1" x14ac:dyDescent="0.25">
      <c r="A8" t="s">
        <v>58</v>
      </c>
      <c r="B8" t="s">
        <v>59</v>
      </c>
      <c r="C8" s="9" t="s">
        <v>60</v>
      </c>
    </row>
    <row r="9" spans="1:3" ht="15.75" customHeight="1" x14ac:dyDescent="0.25">
      <c r="A9" t="s">
        <v>61</v>
      </c>
      <c r="B9" s="9" t="s">
        <v>62</v>
      </c>
      <c r="C9" s="9" t="s">
        <v>63</v>
      </c>
    </row>
    <row r="10" spans="1:3" ht="15.75" customHeight="1" x14ac:dyDescent="0.25">
      <c r="B10" s="9" t="s">
        <v>64</v>
      </c>
      <c r="C10" s="9"/>
    </row>
    <row r="11" spans="1:3" ht="15.75" customHeight="1" x14ac:dyDescent="0.25">
      <c r="B11" s="9" t="s">
        <v>65</v>
      </c>
    </row>
    <row r="12" spans="1:3" ht="15.75" customHeight="1" x14ac:dyDescent="0.25">
      <c r="B12" s="9" t="s">
        <v>66</v>
      </c>
    </row>
    <row r="13" spans="1:3" ht="15.75" customHeight="1" x14ac:dyDescent="0.25">
      <c r="B13" s="9" t="s">
        <v>67</v>
      </c>
    </row>
    <row r="14" spans="1:3" ht="15.75" customHeight="1" x14ac:dyDescent="0.25">
      <c r="B14" s="9" t="s">
        <v>46</v>
      </c>
    </row>
    <row r="15" spans="1:3" ht="15.75" customHeight="1" x14ac:dyDescent="0.25">
      <c r="B15" s="9" t="s">
        <v>68</v>
      </c>
    </row>
    <row r="16" spans="1:3" ht="15.75" customHeight="1" x14ac:dyDescent="0.25">
      <c r="B16" s="9" t="s">
        <v>69</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c8d291c-a5bf-4049-930d-38db8e991d8e" xsi:nil="true"/>
    <lcf76f155ced4ddcb4097134ff3c332f xmlns="5ff92c65-ed86-4457-baee-ccd535c9ea2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BEA8C5-7A8E-4EDD-924F-588BDEE14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0CF63A-30C9-4A8C-8DF9-EA62B8EC1A62}">
  <ds:schemaRefs>
    <ds:schemaRef ds:uri="http://schemas.microsoft.com/office/2006/metadata/properties"/>
    <ds:schemaRef ds:uri="http://schemas.microsoft.com/office/infopath/2007/PartnerControls"/>
    <ds:schemaRef ds:uri="6c8d291c-a5bf-4049-930d-38db8e991d8e"/>
    <ds:schemaRef ds:uri="5ff92c65-ed86-4457-baee-ccd535c9ea21"/>
  </ds:schemaRefs>
</ds:datastoreItem>
</file>

<file path=customXml/itemProps3.xml><?xml version="1.0" encoding="utf-8"?>
<ds:datastoreItem xmlns:ds="http://schemas.openxmlformats.org/officeDocument/2006/customXml" ds:itemID="{67A64A65-7DA4-4AE1-9847-B817073E47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Bram Heijligers</dc:creator>
  <cp:keywords/>
  <dc:description/>
  <cp:lastModifiedBy>Maks Burchard</cp:lastModifiedBy>
  <cp:revision/>
  <dcterms:created xsi:type="dcterms:W3CDTF">2020-05-11T09:26:10Z</dcterms:created>
  <dcterms:modified xsi:type="dcterms:W3CDTF">2024-11-26T14:34:22Z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