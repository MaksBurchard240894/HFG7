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17"/>
  <workbookPr/>
  <mc:AlternateContent xmlns:mc="http://schemas.openxmlformats.org/markup-compatibility/2006">
    <mc:Choice Requires="x15">
      <x15ac:absPath xmlns:x15ac="http://schemas.microsoft.com/office/spreadsheetml/2010/11/ac" url="https://edubuas.sharepoint.com/teams/ADSAI24-25/Shared Documents/General/Design documentation/Year 1/Block B/"/>
    </mc:Choice>
  </mc:AlternateContent>
  <xr:revisionPtr revIDLastSave="0" documentId="8_{92BD1742-A6B6-4178-B91E-06D1034FA622}" xr6:coauthVersionLast="47" xr6:coauthVersionMax="47" xr10:uidLastSave="{00000000-0000-0000-0000-000000000000}"/>
  <bookViews>
    <workbookView xWindow="34800" yWindow="760" windowWidth="38400" windowHeight="21100" xr2:uid="{DAAEC50E-5317-F24F-8628-0EA25586FBC3}"/>
  </bookViews>
  <sheets>
    <sheet name="Student Self-Assessment_main" sheetId="5" r:id="rId1"/>
    <sheet name="Student Self-Assessment_backup" sheetId="1" r:id="rId2"/>
    <sheet name="ILO_changes" sheetId="6" r:id="rId3"/>
    <sheet name="ILOs_overview" sheetId="4" r:id="rId4"/>
    <sheet name="ASSESSMENT RUBRIC" sheetId="2" state="hidden" r:id="rId5"/>
    <sheet name="Overview" sheetId="3" state="hidden" r:id="rId6"/>
  </sheet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7" roundtripDataSignature="AMtx7mjdOFpLH8nnuOagCkjXmqa+dNAPaQ=="/>
    </ext>
  </extLst>
</workbook>
</file>

<file path=xl/calcChain.xml><?xml version="1.0" encoding="utf-8"?>
<calcChain xmlns="http://schemas.openxmlformats.org/spreadsheetml/2006/main">
  <c r="N41" i="5" l="1"/>
  <c r="L39" i="5"/>
  <c r="L35" i="5"/>
  <c r="L31" i="5"/>
  <c r="L27" i="5"/>
  <c r="L23" i="5"/>
  <c r="L19" i="5"/>
  <c r="L41" i="5" s="1"/>
  <c r="N3" i="5"/>
  <c r="O19" i="4"/>
  <c r="N19" i="4"/>
  <c r="M19" i="4"/>
  <c r="L19" i="4"/>
  <c r="K19" i="4"/>
  <c r="J19" i="4"/>
  <c r="I19" i="4"/>
  <c r="H19" i="4"/>
  <c r="G19" i="4"/>
  <c r="F19" i="4"/>
  <c r="E19" i="4"/>
  <c r="D19" i="4"/>
  <c r="P18" i="4"/>
  <c r="P17" i="4"/>
  <c r="P16" i="4"/>
  <c r="P15" i="4"/>
  <c r="P14" i="4"/>
  <c r="P13" i="4"/>
  <c r="P12" i="4"/>
  <c r="P11" i="4"/>
  <c r="P10" i="4"/>
  <c r="P9" i="4"/>
  <c r="P8" i="4"/>
  <c r="L23" i="1"/>
  <c r="L19" i="1"/>
  <c r="N41" i="1"/>
  <c r="L39" i="1"/>
  <c r="L35" i="1"/>
  <c r="L31" i="1"/>
  <c r="L27" i="1"/>
  <c r="P16" i="1"/>
  <c r="S18" i="2"/>
  <c r="R18" i="2"/>
  <c r="Q18" i="2"/>
  <c r="P18" i="2"/>
  <c r="O18" i="2"/>
  <c r="N18" i="2"/>
  <c r="S14" i="2"/>
  <c r="R14" i="2"/>
  <c r="Q14" i="2"/>
  <c r="P14" i="2"/>
  <c r="O14" i="2"/>
  <c r="N14" i="2"/>
  <c r="S7" i="2"/>
  <c r="R7" i="2"/>
  <c r="Q7" i="2"/>
  <c r="P7" i="2"/>
  <c r="O7" i="2"/>
  <c r="N7" i="2"/>
  <c r="S5" i="2"/>
  <c r="R5" i="2"/>
  <c r="Q5" i="2"/>
  <c r="P5" i="2"/>
  <c r="O5" i="2"/>
  <c r="N5" i="2"/>
  <c r="L41" i="1" l="1"/>
  <c r="N3"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M25" authorId="0" shapeId="0" xr:uid="{00000000-0006-0000-0100-000001000000}">
      <text>
        <r>
          <rPr>
            <sz val="10"/>
            <color rgb="FF000000"/>
            <rFont val="Arial"/>
            <family val="2"/>
            <scheme val="minor"/>
          </rPr>
          <t>======
ID#AAAAZPao7K8
    (2022-05-11 13:15:54)
@groot.p@ade-buas.nl will you have time to update these criteria.. I can add the OOP ones
_Assigned to Phil de Groot_
	-Abhishek Biswas</t>
        </r>
      </text>
    </comment>
  </commentList>
  <extLst>
    <ext xmlns:r="http://schemas.openxmlformats.org/officeDocument/2006/relationships" uri="GoogleSheetsCustomDataVersion1">
      <go:sheetsCustomData xmlns:go="http://customooxmlschemas.google.com/" r:id="rId1" roundtripDataSignature="AMtx7mhn7Yn3Ksc0QptyahFZOxKVRjWN/g=="/>
    </ext>
  </extLst>
</comments>
</file>

<file path=xl/sharedStrings.xml><?xml version="1.0" encoding="utf-8"?>
<sst xmlns="http://schemas.openxmlformats.org/spreadsheetml/2006/main" count="687" uniqueCount="328">
  <si>
    <t>Details</t>
  </si>
  <si>
    <t xml:space="preserve">Comments </t>
  </si>
  <si>
    <t>Self Assessed Grade</t>
  </si>
  <si>
    <t>Result</t>
  </si>
  <si>
    <t>Student Number</t>
  </si>
  <si>
    <t>&lt;&lt;provide student number&gt;&gt;</t>
  </si>
  <si>
    <t xml:space="preserve">&lt;&lt; fill in your self-assessment comments, any other academic feedback for the 8 weeks of work &gt;&gt; </t>
  </si>
  <si>
    <t>Student Name</t>
  </si>
  <si>
    <t>&lt;&lt;fill student name&gt;&gt;</t>
  </si>
  <si>
    <t>Project</t>
  </si>
  <si>
    <t>2024-25A FGA1.P1-ADSAI</t>
  </si>
  <si>
    <t>Opportunity</t>
  </si>
  <si>
    <t>First Opportunity</t>
  </si>
  <si>
    <t>Project Deadline</t>
  </si>
  <si>
    <t>Grading Rubric</t>
  </si>
  <si>
    <t>Indicated Learning Outcomes &amp; Assessment Indicators</t>
  </si>
  <si>
    <t>Pre - requisites</t>
  </si>
  <si>
    <t>ILO Components</t>
  </si>
  <si>
    <t>Score</t>
  </si>
  <si>
    <t xml:space="preserve">Out of </t>
  </si>
  <si>
    <t>Total</t>
  </si>
  <si>
    <t>ILO 0</t>
  </si>
  <si>
    <t>Foundational Skills
The student masters the foundational skills and knowledge that form the basis of Data Science and Artificial Intelligence.  </t>
  </si>
  <si>
    <t>Pre - requisite (s)</t>
  </si>
  <si>
    <t>A (Points: 3)</t>
  </si>
  <si>
    <t>B (Points: 3)</t>
  </si>
  <si>
    <t>C (Points: 3)</t>
  </si>
  <si>
    <t>D (Points: 3)</t>
  </si>
  <si>
    <t>E (Points: 3)</t>
  </si>
  <si>
    <t>0.2 The students is able to demonstrate an advanced understanding of python programming concepts and basics of SQL.</t>
  </si>
  <si>
    <t>The student should submit the relevant Python Notebooks addressing the creative brief. Student submits a complete learning log, work log and self-assessment rubric. The student exhibits professional behaviour during the DataLab.</t>
  </si>
  <si>
    <t>The student is able to demonstrate an understanding of the concept of working directory, file types and file structures in Python.</t>
  </si>
  <si>
    <t>The student is able to perform basic data cleansing activities in Python with or without using packages. Additionally, the student is able to demonstrate significant understanding of Numpy.</t>
  </si>
  <si>
    <t>The student is able to design reports and visuals (e.g., using matplotlib, Streamlit ) based on the merged datasets which help providing valuable and actionable insights.</t>
  </si>
  <si>
    <t>The student demonstrates the capability to establish a connection between Python and a database,  perform basic ETL operations such as read/write.</t>
  </si>
  <si>
    <t>The student is able to join two different tables using SQL and uses this to fulfill the requirements of creative brief.</t>
  </si>
  <si>
    <t>/</t>
  </si>
  <si>
    <t>Points</t>
  </si>
  <si>
    <t>Yes</t>
  </si>
  <si>
    <t>ILO 1</t>
  </si>
  <si>
    <t>Professional Practice The student can collaborate (internationally) in multidisciplinary teams with different levels of knowledge in the field of data use and applications. They can set up and execute projects in collaboration with stakeholders and team members. They can act as a sounding board in discussions with team members, customers, users and experts. They strive for a good balance between input of their own vision and additional expertise of others. They are able to lead a team. </t>
  </si>
  <si>
    <t>A (Points: 2)</t>
  </si>
  <si>
    <t>B (Points: 2)</t>
  </si>
  <si>
    <t>C (Points: 2)</t>
  </si>
  <si>
    <t>D (Points: 2)</t>
  </si>
  <si>
    <t>E (Points: 2)</t>
  </si>
  <si>
    <t xml:space="preserve">1.2 The student accurately tracks time spent on planned and unplanned work, noting reasons for and consequences of deviations from the planned objectives.  </t>
  </si>
  <si>
    <t xml:space="preserve">The student submits  a complete learning log, work log and self-assessment rubric. The student exhibits professional behaviour during the DataLab.  </t>
  </si>
  <si>
    <t>The student outlines the completed tasks in the worklog, with detailed comments provided where necessary.</t>
  </si>
  <si>
    <t>The student writes professional and critical reflections with time-tracking and identifying key lessons.</t>
  </si>
  <si>
    <t>The student fills out the worklog for each of the weeks.</t>
  </si>
  <si>
    <t xml:space="preserve">The student includes all references to important resources in the worklog for the listed tasks. </t>
  </si>
  <si>
    <t xml:space="preserve">The student's writing style in worklog is professional and free of spelling and grammar mistakes. The student comprehends what was completed and why individual and project feedback was given.  </t>
  </si>
  <si>
    <t>ILO 2</t>
  </si>
  <si>
    <t>Personal Development &amp; Academic Practice
The student applies relevant (research) methods and techniques in combination with relevant and adequate argumentation. They can reflect on (business) processes and their role in them, both theoretically and practically, by constantly evaluating their own actions and adapting them with input from others. They can translate the result of the reflection into concrete personal learning objectives.</t>
  </si>
  <si>
    <t>A (Points: 5)</t>
  </si>
  <si>
    <t>B (Points: 5)</t>
  </si>
  <si>
    <t xml:space="preserve">2.2  The student reflects on personal behavior and attitudes, showing critical analysis of key lessons learned and identifying clear action points for improvement.  </t>
  </si>
  <si>
    <r>
      <t>Goals written with a</t>
    </r>
    <r>
      <rPr>
        <b/>
        <sz val="10"/>
        <color rgb="FF000000"/>
        <rFont val="Aptos"/>
      </rPr>
      <t xml:space="preserve"> SMARTER </t>
    </r>
    <r>
      <rPr>
        <sz val="10"/>
        <color rgb="FF000000"/>
        <rFont val="Aptos"/>
      </rPr>
      <t>method. The goals are shown to be Specific, Measurable, Achievable, Relevant, Time-bound, Evaluated and Readjusted. Project goals and self-development goals detailed.</t>
    </r>
  </si>
  <si>
    <t xml:space="preserve">Goals are aligned with project, personal, and professional development objectives. A detailed evaluation of the goals has been conducted throughout the block. The goals may have been re-adjusted as well. </t>
  </si>
  <si>
    <t>ILO 6</t>
  </si>
  <si>
    <t>Data Collection and Processing. The student masters (technological) skills to acquire, pre-process, process and manage the necessary data to create value for individuals, organizations and domains. </t>
  </si>
  <si>
    <t>6.2 The students is able to perform basic ETL operations such as read/write, clean, and explore data using standard Python libraries.</t>
  </si>
  <si>
    <t xml:space="preserve">The student is able to clean and pre-process and visualise data using Python libraries. </t>
  </si>
  <si>
    <t>The student is able to use metadata from the dataset  to analyse the different types of data with describing the role (e.g. id / feature/ target) as well as detecting missed values.</t>
  </si>
  <si>
    <t>ILO 8</t>
  </si>
  <si>
    <t xml:space="preserve">Modelling. The student can apply modelling techniques including Machine Learning and AI to create value for individuals, organizations and domains. 
 </t>
  </si>
  <si>
    <t>A (Points: 4)</t>
  </si>
  <si>
    <t>B (Points: 4)</t>
  </si>
  <si>
    <t>C (Points: 4)</t>
  </si>
  <si>
    <t>D (Points: 4)</t>
  </si>
  <si>
    <t>E (Points: 4)</t>
  </si>
  <si>
    <t xml:space="preserve">8.1 The student is able to understand different types of supervised and unsupervised machine learning algorithms for data analysis  and can implement these to solve a business objective using industry standard Python libraries.   </t>
  </si>
  <si>
    <t xml:space="preserve">The student has a sufficient knowledge about ML algorithms. The student submits  a complete learning log, work log and self-assessment rubric. The student exhibits professional behaviour during the DataLab. </t>
  </si>
  <si>
    <t xml:space="preserve">The student is able to understand regression  concepts and build a regression baseline using dataset. </t>
  </si>
  <si>
    <t xml:space="preserve">The student is able to understand classification concepts and build a classification baseline using dataset. </t>
  </si>
  <si>
    <t>The student is able to understand clustering concepts and build a clustering baseline to segment patients into clusters using dataset.</t>
  </si>
  <si>
    <t>The student is able to do the feature selection and engineering in dataset and is able to improve their model by tuning its hyperparameter(s) using a validation set and justify their model improvement(s) in the context of the business objective.</t>
  </si>
  <si>
    <t>The student is able to analyse and interpret the results obtained from the ML algorithms for model selection based on the solution requirements and dataset features.</t>
  </si>
  <si>
    <t>8.2  The student is able to perform elementary operations on matrices and understand the concepts of derivatives, gradients, optimization algorithms, and can implement a simple machine learning model from scratch.</t>
  </si>
  <si>
    <t xml:space="preserve">The student submits  a complete learning log, work log and self-assessment rubric. The student exhibits professional behaviour during the DataLab. </t>
  </si>
  <si>
    <t>The student demonstrate a comprehensive understanding of key optimization algorithms, critically analyse their performance, and apply them to solve complex minimization and maximization problems. Furthermore, the student will have the capability to assess the impact of algorithm parameters on performance and convergence in mathematical optimization.</t>
  </si>
  <si>
    <t>The student implement all steps of training a regression model from scratch for their project, including implementing the cost function and finding its derivative, training the model using an optimization algorithm, evaluating the model's performance using appropriate regression metrics, and performing accurate predictions based on the trained model. </t>
  </si>
  <si>
    <t xml:space="preserve">The student conduct fine-tuning of hyperparameters for regression models implemented from scratch, which includes implementing the regularized form of the cost function, testing different optimization algorithms (modifying them as necessary when incorporating regularization), studying the impact of learning rates on training performance, and examining how scaling features influences model performance and generalization. </t>
  </si>
  <si>
    <t>The student implement all steps of training a classification model from scratch for their project, including defining the cost function and calculating its derivative, training the model using an optimization algorithm, evaluating the model's performance with relevant classification metrics, and making accurate predictions based on the trained model.</t>
  </si>
  <si>
    <t xml:space="preserve">The student carry out hyperparameter fine-tuning for classification models developed from scratch, focusing on testing various optimization algorithms (modifying them as necessary to integrate regularization), implementing the regularized form of the cost function, analyzing the effects of learning rates on training performance, and assessing how scaling features affects model performance and generalization. </t>
  </si>
  <si>
    <t>ILO 11</t>
  </si>
  <si>
    <t>Reporting and Advising. The student can translate (interim) results into effective reporting. They see opportunities and possibilities and can translate these from a market-oriented vision into new concepts, products or services, while keeping the business side of the organization in mind. </t>
  </si>
  <si>
    <t>11.1 The student is able to communicate technical concepts by means of a structured, coherent, and well-formatted professional report.</t>
  </si>
  <si>
    <t xml:space="preserve">The student should present final project and be able to answer the questions related to it during the presentation. The student submits a complete learning log, work log and self-assessment rubric. The student exhibits professional behaviour during the DataLab.  </t>
  </si>
  <si>
    <t>The student is able to define the sections (EDA, Regression, Classification, Clustering, Evaluation, Improvement) clearly based on implementations.</t>
  </si>
  <si>
    <t>The students is able to demonstrate an advanced understanding of machine learning concepts.</t>
  </si>
  <si>
    <t xml:space="preserve">The student is able to demonstrate understanding of different types of machine learning algorithms for data analysis and have implementation of baselines based on the defined project and dataset. </t>
  </si>
  <si>
    <t xml:space="preserve">The student is able to critically analyse and evaluate their proposed solutions based on its relevance for the business objectives. </t>
  </si>
  <si>
    <t>The student has a clean and commented code and is able to identify the shortcomings of the current implementation and propose next steps for improving the quality of implementation.</t>
  </si>
  <si>
    <t xml:space="preserve">Project Total </t>
  </si>
  <si>
    <t>CRISP-DM Cycle</t>
  </si>
  <si>
    <t>CRISP Phase</t>
  </si>
  <si>
    <t>Competency</t>
  </si>
  <si>
    <t>Description</t>
  </si>
  <si>
    <t>Graduate Level</t>
  </si>
  <si>
    <t>Professional Development</t>
  </si>
  <si>
    <t xml:space="preserve">Project management and cooperation </t>
  </si>
  <si>
    <t>The student can collaborate (internationally) in multidisciplinary teams with different levels of knowledge in the field of data use and applications. The student can set up and execute projects in collaboration with stakeholders and team members. The student can act as a sounding board in discussions with team members, customers, users and experts. The student strives for a good balance between input of her own vision and additional expertise of others. The student is able to lead a team.</t>
  </si>
  <si>
    <t xml:space="preserve">Researching and reflective attitude </t>
  </si>
  <si>
    <t>The student applies relevant (research) methods and techniques in combination with relevant and adequate argumentation. The student can reflect on (business) processes and her role in them, both theoretically and practically, by constantly evaluating her own actions and adapting them with input from others. The student can translate the result of the reflection into concrete personal learning objectives.</t>
  </si>
  <si>
    <t>Responsibility</t>
  </si>
  <si>
    <t>The student is aware of legal and ethical aspects within the context of her professional work environment and is able to make substantiated considerations in this regard. The student acts from justice and integrity.</t>
  </si>
  <si>
    <t>Business understanding</t>
  </si>
  <si>
    <t>Problem analysis</t>
  </si>
  <si>
    <t>The student can analyse a problem by describing the context, trade-offs and formulation of the final demand (as a result of a process of demand articulation). In doing so, The student identifies the possible solutions. As a result, The student can formulate an approach for a data trajectory considering relevant actors and interests, involving relevant theories and (technical) possibilities.</t>
  </si>
  <si>
    <t>Domain knowledge</t>
  </si>
  <si>
    <t>The student has such knowledge of and insight into one or more domains that The student can function as a discussion partner for experts. The student is able to quickly immerse herself in new domains and associated professional networks.</t>
  </si>
  <si>
    <t>Data understanding</t>
  </si>
  <si>
    <t>Data collection and processing</t>
  </si>
  <si>
    <t>The student masters (programming) skills to acquire, pre-process, process and manage the necessary data to create value for individuals, organizations and domains.</t>
  </si>
  <si>
    <t>Data preparation</t>
  </si>
  <si>
    <t>Data analysis</t>
  </si>
  <si>
    <t>The student can use analytical and statistical methods to analyse data to create value for individuals, organizations and domains.</t>
  </si>
  <si>
    <t>Modelling</t>
  </si>
  <si>
    <t>The student can apply modelling techniques including Machine Learning and AI to create value for individuals, organizations and domains.</t>
  </si>
  <si>
    <t>Design, prototyping and implementation</t>
  </si>
  <si>
    <t>The student can develop a prototype using an iterative cycle, explicitly involving stakeholders, and implement applications within an (existing) architecture.</t>
  </si>
  <si>
    <t>Evaluation &amp; Deployment</t>
  </si>
  <si>
    <t>Visualisation</t>
  </si>
  <si>
    <t>The student can apply visualization and storytelling techniques and skills to effectively and accurately inform stakeholders about (interim) results of AI and DS approaches.</t>
  </si>
  <si>
    <t>Reporting and advising</t>
  </si>
  <si>
    <t>The student can translate (interim) results into effective reporting. The student sees opportunities and possibilities and can translate these from a market-oriented vision into new concepts, products or services, while keeping the business side of the organization in mind.</t>
  </si>
  <si>
    <t> </t>
  </si>
  <si>
    <t>Dublin Descriptors</t>
  </si>
  <si>
    <t>#</t>
  </si>
  <si>
    <t>Outcomes</t>
  </si>
  <si>
    <t>First cycle qualifications (Bachelor Level)
Qualifications that signify completion of the first cycle are awarded to students who:</t>
  </si>
  <si>
    <t>Second cycle qualifications (Master Level)
Qualifications that signify completion of the second cycle are awarded to students who:</t>
  </si>
  <si>
    <t>Knowledge and Understanding</t>
  </si>
  <si>
    <t>Have demonstrated knowledge and understanding in a field of study that builds upon their general secondary education, and is typically at a level that, while supported by advanced textbooks, includes some aspects that will be informed by knowledge of the forefront of their field of study.</t>
  </si>
  <si>
    <t>Have demonstrated knowledge and understanding that is founded upon and extends and/or enhances that typically associated with the first cycle, and that provides a basis or opportunity for originality in developing and/or applying ideas, often within a research context.</t>
  </si>
  <si>
    <t>Applying Knowledge and Understanding</t>
  </si>
  <si>
    <t>Can apply their knowledge and understanding in a manner that indicates a professional approach to their work or vocation, and have competences typically demonstrated through devising and sustaining arguments and solving problems within their field of study.</t>
  </si>
  <si>
    <t>Can apply their knowledge and understanding, and problem solving abilities in new or unfamiliar environments within broader (or multidisciplinary) contexts related to their field of study.</t>
  </si>
  <si>
    <t>Making Judgements</t>
  </si>
  <si>
    <t>Have the ability to gather and interpret relevant data (usually within their field of study) to inform judgements that include reflection on relevant social, scientific or ethical issues.</t>
  </si>
  <si>
    <t>Have the ability to integrate knowledge and handle complexity, and formulate judgements with incomplete or limited information, but that include reflecting on social and ethical responsibilities linked to the application of their knowledge and judgements.</t>
  </si>
  <si>
    <t>Communication</t>
  </si>
  <si>
    <t>Can communicate information, ideas, problems and solutions to both specialist and non- specialist audiences.</t>
  </si>
  <si>
    <t>Can communicate their conclusions, and the knowledge and rationale underpinning these, to specialist and non-specialist audiences clearly and unambiguously.</t>
  </si>
  <si>
    <t>Learning Skills</t>
  </si>
  <si>
    <t>Have developed those learning skills that are necessary for them to continue to undertake further study with a high degree of autonomy.</t>
  </si>
  <si>
    <t>Have the learning skills to allow them to continue to study in a manner that may be largely self-directed or autonomous.</t>
  </si>
  <si>
    <t>0.2 Students are able to demonstrate a advanced understanding of python programming concepts and basics of SQL.</t>
  </si>
  <si>
    <t>The student should submit the relavent Python Notebooks addressing the creative brief. Student submits  a complete learning log, work log and self-assessment rubric. The student exhibits professional behaviour during the datalab.</t>
  </si>
  <si>
    <t>The student is able to perform basic data cleansing activities in Python with or without using packages. Addtionally, the student is able to demonstrate significant understanding of numpy.</t>
  </si>
  <si>
    <t>The student is able to design reports and visuals (e.g., using matplotlib, Streamlit ) based on the merged datasets which help provide valuable and actionable insights.</t>
  </si>
  <si>
    <t>The student demonstrates the capability to establish a  connection between Python and a database,  perform basic ETL operations such as read/write</t>
  </si>
  <si>
    <t>The student is able to join two different tables using SQL and uses this to fulfill the requirements of creative brief</t>
  </si>
  <si>
    <t xml:space="preserve">Professional Practice The student can collaborate (internationally) in multidisciplinary teams with different levels of knowledge in the field of data use and applications. They can set up and execute projects in collaboration with stakeholders and team members. They can act as a sounding board in discussions with team members, customers, users and experts. They strive for a good balance between input of their own vision and additional expertise of others. They are able to lead a team. 
</t>
  </si>
  <si>
    <t xml:space="preserve">Student submits  a complete learning log, work log and self-assessment rubric. The student exhibits professional behaviour during the datalab.  </t>
  </si>
  <si>
    <t>The completed tasks are outlined in the worklog, with detailed comments provided where necessary.</t>
  </si>
  <si>
    <t xml:space="preserve">All references to important resources used are included in the worklog for the listed tasks. </t>
  </si>
  <si>
    <t xml:space="preserve">Personal Development &amp; Academic Practice
 The student applies relevant (research) methods and techniques in combination with relevant and adequate argumentation. They can reflect on (business) processes and their role in them, both theoretically and practically, by constantly evaluating their own actions and adapting them with input from others. They can translate the result of the reflection into concrete personal learning objectives. </t>
  </si>
  <si>
    <t xml:space="preserve">Student submits  a complete learning log, work log and self-assessment rubric. The student exhibits professional behaviour during the datalab. </t>
  </si>
  <si>
    <r>
      <rPr>
        <sz val="10"/>
        <color rgb="FF000000"/>
        <rFont val="Aptos"/>
      </rPr>
      <t>Goals written with a</t>
    </r>
    <r>
      <rPr>
        <b/>
        <sz val="10"/>
        <color rgb="FF000000"/>
        <rFont val="Aptos"/>
      </rPr>
      <t xml:space="preserve"> SMARTER </t>
    </r>
    <r>
      <rPr>
        <sz val="10"/>
        <color rgb="FF000000"/>
        <rFont val="Aptos"/>
      </rPr>
      <t>method. The goals are shown to be Specific, Measurable, Achievable, Relevant, Time-bound, Evaluated and Readjusted. Project goals and self-development goals detailed.</t>
    </r>
  </si>
  <si>
    <t xml:space="preserve">Student has a sufficiant knowledge about ML algorithms. Student submits  a complete learning log, work log and self-assessment rubric. The student exhibits professional behaviour during the datalab. </t>
  </si>
  <si>
    <t xml:space="preserve">Student is able to understand regression concepts and build a regresssion baseline. </t>
  </si>
  <si>
    <t xml:space="preserve">Student is able to understand rclassification concepts and build a classification baseline. </t>
  </si>
  <si>
    <t>Student is able to understand clustering concepts and build a clustering baseline to segment patients into clusters based on using dataset.</t>
  </si>
  <si>
    <t>The student is able to analyse and interpret the results obtained from the ML algorithms for model selection based on the solution requiremnts and dataset features.</t>
  </si>
  <si>
    <t>The student is able to do the feature selection and engineering in dataset and is able to do hyperparameter tuning.</t>
  </si>
  <si>
    <t>8.2 Mathematics. The student is able to perform elementary operations on matrices and understand the concepts of derivatives, gradients, optimization algorithms, and can implement a simple machine learning model from scratch.</t>
  </si>
  <si>
    <t>Student will demonstrate a comprehensive understanding of key optimization algorithms, critically analyze their performance, and apply them to solve complex minimization and maximization problems. Furthermore, the student will have the capability to assess the impact of algorithm parameters on performance and convergence in mathematical optimization.</t>
  </si>
  <si>
    <t>Student will implement all steps of training a regression model from scratch for their project, including implementing the cost function and finding its derivative, training the model using an optimization algorithm, evaluating the model's performance using appropriate regression metrics, and performing accurate predictions based on the trained model. </t>
  </si>
  <si>
    <t xml:space="preserve">Student will conduct fine-tuning of hyperparameters for regression models implemented from scratch, which includes implementing the regularized form of the cost function, testing different optimization algorithms (modifying them as necessary when incorporating regularization), studying the impact of learning rates on training performance, and examining how scaling features influences model performance and generalization. </t>
  </si>
  <si>
    <t>Student will implement all steps of training a classification model from scratch for their project, including defining the cost function and calculating its derivative, training the model using an optimization algorithm, evaluating the model's performance with relevant classification metrics, and making accurate predictions based on the trained model.</t>
  </si>
  <si>
    <t xml:space="preserve">Student will carry out hyperparameter fine-tuning for classification models developed from scratch, focusing on testing various optimization algorithms (modifying them as necessary to integrate regularization), implementing the regularized form of the cost function, analyzing the effects of learning rates on training performance, and assessing how scaling features affects model performance and generalization. </t>
  </si>
  <si>
    <t xml:space="preserve">The report has a clear structure common for a scientific report with a natural flow of information. All sources used are referenced accordingly. There is at least one scientific formatting style in the refrences. The writing style is academic and professional. </t>
  </si>
  <si>
    <t xml:space="preserve">The topic of the report is clearly introduced. </t>
  </si>
  <si>
    <t>Student is able to define the sections clearly based on her/his implemetaion</t>
  </si>
  <si>
    <t>Student is able to compare various algorithms in terms of their prons and cons</t>
  </si>
  <si>
    <t>The student is able to identify the shortcomings of the current implementation and propose next steps for improving the quality of implementation.</t>
  </si>
  <si>
    <t>The student cn analyse a problem by describing the context, trade-offs and formulation of the final demand (as a result of a process of demand articulation). In doing so, The student identifies the possible solutions. As a result, The student can formulate an approach for a data trajectory considering relevant actors and interests, involving relevant theories and (technical) possibilities.</t>
  </si>
  <si>
    <t>The studentan can use analytical and statistical methods to analyse data to create value for individuals, organizations and domains.</t>
  </si>
  <si>
    <t>The studentan apply modelling techniques including Machine Learning and AI to create value for individuals, organizations and domains.</t>
  </si>
  <si>
    <t>The studentan develop a prototype using an iterative cycle, explicitly involving stakeholders, and implement applications within an (existing) architecture.</t>
  </si>
  <si>
    <t>The studentan can translate (interim) results into effective reporting. The student sees opportunities and possibilities and can translate these from a market-oriented vision into new concepts, products or services, while keeping the business side of the organization in mind.</t>
  </si>
  <si>
    <t>BLOCK B - Y1- 24-25</t>
  </si>
  <si>
    <t>ILO</t>
  </si>
  <si>
    <t>ILOs</t>
  </si>
  <si>
    <t>Last Year (23-24)</t>
  </si>
  <si>
    <t>Proposed(24-25)</t>
  </si>
  <si>
    <t>Fundumental Skills (Python&amp;SQL)</t>
  </si>
  <si>
    <t>Professional Practice</t>
  </si>
  <si>
    <t>Personal Development</t>
  </si>
  <si>
    <t>Data Collection and Processing (EDA)</t>
  </si>
  <si>
    <t>Modelling (Machine Learning)</t>
  </si>
  <si>
    <t>Modelling (Mathematics)</t>
  </si>
  <si>
    <t>Reporting and Advising (Presentation)</t>
  </si>
  <si>
    <t>Block</t>
  </si>
  <si>
    <t>1A</t>
  </si>
  <si>
    <t>programmeren (0), wiskunde (0), powerBI visualization (10), introduction to AI (3), problem analysis report (4)</t>
  </si>
  <si>
    <t>1B</t>
  </si>
  <si>
    <t>ML (8), Pthon (libraries) (0), Mathematics (0), Communication (11), Data cleaning (6), ethics (3)</t>
  </si>
  <si>
    <t>1C</t>
  </si>
  <si>
    <t>BU (4), Data collection (6) Deep learning (8), HCI/HCAI (9), Resp AI (3)</t>
  </si>
  <si>
    <t>1D</t>
  </si>
  <si>
    <t>Project management (1), SQL (6), time series (8), legal (3), deployment (9), project proposal (4)</t>
  </si>
  <si>
    <t>2A</t>
  </si>
  <si>
    <t>research ethics &amp; data management (3), research proposal (4), quantitative/qualitative data analysis (7), report (11), statistics (0)</t>
  </si>
  <si>
    <t>2B</t>
  </si>
  <si>
    <t xml:space="preserve">Computer vision, robotics, </t>
  </si>
  <si>
    <t>2C</t>
  </si>
  <si>
    <t>NLP</t>
  </si>
  <si>
    <t>2D</t>
  </si>
  <si>
    <t>Modelling (8), deployment (9), visualization (10)</t>
  </si>
  <si>
    <t>3AB</t>
  </si>
  <si>
    <t>Stage</t>
  </si>
  <si>
    <t>Afst.</t>
  </si>
  <si>
    <t>total</t>
  </si>
  <si>
    <t>Y3/4</t>
  </si>
  <si>
    <t>Analytics Translator</t>
  </si>
  <si>
    <t>4&amp;5</t>
  </si>
  <si>
    <t>Data Scientist</t>
  </si>
  <si>
    <t>7&amp;8</t>
  </si>
  <si>
    <t xml:space="preserve">25 points per specialization </t>
  </si>
  <si>
    <t>Data Engineer</t>
  </si>
  <si>
    <t>7&amp;9</t>
  </si>
  <si>
    <t>1 - professional development</t>
  </si>
  <si>
    <t xml:space="preserve">2 - personal development </t>
  </si>
  <si>
    <t>professional behaviour</t>
  </si>
  <si>
    <t>reflecting on work and completing learning log</t>
  </si>
  <si>
    <t>work log complete</t>
  </si>
  <si>
    <t>SMARTER goals</t>
  </si>
  <si>
    <t>datalab preperation</t>
  </si>
  <si>
    <t>Public speaking &amp; Presenting</t>
  </si>
  <si>
    <t xml:space="preserve">Team work </t>
  </si>
  <si>
    <t xml:space="preserve">providing feedback </t>
  </si>
  <si>
    <t>project management artifacts</t>
  </si>
  <si>
    <t xml:space="preserve">Leadership: Motivating Others, Decision Making, Strategic Thinking
</t>
  </si>
  <si>
    <t>Professional communication</t>
  </si>
  <si>
    <t>Critical thinking</t>
  </si>
  <si>
    <t>knowledge sharing</t>
  </si>
  <si>
    <t xml:space="preserve">reflecting on feedback </t>
  </si>
  <si>
    <t>submits work to professional standards</t>
  </si>
  <si>
    <t xml:space="preserve">emotional intelligence </t>
  </si>
  <si>
    <t>Data Structure - Demonstrate understanding of standard data structure and able to derive required structures for the project with strong reasoning and able to discuss the pros and cons.</t>
  </si>
  <si>
    <t>Missing (0 points)</t>
  </si>
  <si>
    <t>Poor (2 points)</t>
  </si>
  <si>
    <t>Insufficient (4 points)</t>
  </si>
  <si>
    <t>Sufficient (6 points)</t>
  </si>
  <si>
    <t>Good (8 points)</t>
  </si>
  <si>
    <t>Excellent (10 points)</t>
  </si>
  <si>
    <t>Demonstrates an understanding of standard datastructures and how they are selected, the internal structure and use.</t>
  </si>
  <si>
    <t>Data Structure - Demonstrate understanding of standard data structures (Containers, algorithms, iterators etc)</t>
  </si>
  <si>
    <t xml:space="preserve">Not addressed this block in project work.
</t>
  </si>
  <si>
    <t>Research for the basic data structures is not enough to start the implementation for a working code.</t>
  </si>
  <si>
    <t>Researched basic structures without much in depth analysis showing partial understanding of the concept .</t>
  </si>
  <si>
    <t>Analysed the requirements for the project and researched those data structure well enough to get them working in the project.</t>
  </si>
  <si>
    <t>Reseached in-depth, for performance factors (memory, runtime overheads, robustness etc..) of the data structures and able to conclude the pros &amp; cons of their implementation.</t>
  </si>
  <si>
    <t>Researched the best practices for building a library which can be used for generic purposes.</t>
  </si>
  <si>
    <t xml:space="preserve">Not evidenced this block in learning Log.
</t>
  </si>
  <si>
    <t>Poorly Evidenced in Learning Log.</t>
  </si>
  <si>
    <t>Documentation fail to prove certain key points which help in mapping the research to the project's need.</t>
  </si>
  <si>
    <t>The understanding is well documented including certain key reflection towards next steps on the topics.</t>
  </si>
  <si>
    <t>Researched exceptions and edge conditions of the structures for robust implementation .</t>
  </si>
  <si>
    <t>Presented an excellent research document, backed up with use cases and details from project.</t>
  </si>
  <si>
    <t>Demonstrating understanding of performance (memory, runtime overheads, robustness etc..) of the derived data types, the overall game performance and memory footprint.</t>
  </si>
  <si>
    <t>Data Stucture - Build your library of data stuctures</t>
  </si>
  <si>
    <t>Not addressed this block in project work.</t>
  </si>
  <si>
    <t>Poorly analysed the used case for data structure followed by incorrect to no implementation.</t>
  </si>
  <si>
    <t>Standard operators are implemented to minimum functionality.</t>
  </si>
  <si>
    <t>All standard operators are functional with only minor or no bugs.</t>
  </si>
  <si>
    <t>Required data structures implemented fully and used well in project.</t>
  </si>
  <si>
    <t>Library proves robustness with implemented unit test cases.</t>
  </si>
  <si>
    <t>Deriving an efficient practice for a context, backing up with strong reasons for the chosen approach.</t>
  </si>
  <si>
    <t>Poorly evidenced in Learning Log.</t>
  </si>
  <si>
    <t>Rare use cases demonstrated in project.</t>
  </si>
  <si>
    <t>Data structures partially organised in a library.</t>
  </si>
  <si>
    <t>All or most of the data structures organised in a library.</t>
  </si>
  <si>
    <t>Library is generic enough to be used for multiple projects this block.</t>
  </si>
  <si>
    <t>M</t>
  </si>
  <si>
    <t>P</t>
  </si>
  <si>
    <t>Is</t>
  </si>
  <si>
    <t>S</t>
  </si>
  <si>
    <t>G</t>
  </si>
  <si>
    <t>E</t>
  </si>
  <si>
    <t>Working Environment : 3.1 - Proficient in using development and production tools at a professional level (e.g. Perforce, Visual Studio- 2019 as an editor / debugger / profiler).</t>
  </si>
  <si>
    <t>Poor demonstration of use cases of VS2019 as a  editor, debugger. Repeated mistakes in using VS2019 due to lack of understanding and research on the topics. Did not demonstrated much learning on the topic and progress. 
Poorly documented the learning.</t>
  </si>
  <si>
    <t>Shown use cases and understanding of VS2019 as a C++ project editor.
Can demonstrate some usertanding and use cases of VS2019 Debugger.</t>
  </si>
  <si>
    <t>Can demonstrate extensive use of VS2019 debugger. 
Researched and included VS2019 plugins and shows understanding of the usage and purposes of the plugins.
Can create VS2019 C++ project from scratch
Can maintain filters and physical folders with consistent naming conventions for VS2019 projects.</t>
  </si>
  <si>
    <t>Can proficiently use VS2019 profiler and shows understanding of profiler concepts and how they can useful in improving performance of game
researched into atleast 1 or more profilers (CPU/GPU) and discussed the pros and cons or similaritites with VS2019 profiler.
Based on the project's requirement invest into atleast 1 more production /developement tool (eg: 2D-Level editors, Sound Editors etc.).</t>
  </si>
  <si>
    <t>Attitude towards building an automatic pipeline integrating production tools for build releases or production helpers.</t>
  </si>
  <si>
    <t>Perforce</t>
  </si>
  <si>
    <t>Poor understanding of source control operations, and consistent repetation of minor mistakes using perforce for project without showcasing any progress in learning. Poorly documented evidence</t>
  </si>
  <si>
    <t>Can use perforce for a day to day basis with basic functionalities, but does not demonstrate much understanding of concepts through use cases or learning documents.</t>
  </si>
  <si>
    <t>Demonstrates understanding of Perforce by showing use of atleast 4 or more operations and their purposes. Shows clear understanding of working with source control - Changelist, versions etc.</t>
  </si>
  <si>
    <t>Demonstrates understanding of Perforce by showing: 1) use of atleast 6 or more operations and their purposes. 2) Atleast 1 use case showcasing alternate set of operations serving the same use case. Shows clear understanding of source control termilogy - Client/Server/Workspace.</t>
  </si>
  <si>
    <t>Optional, uses perforce commandline utility to build and configure custom perforce clients for basic operations.</t>
  </si>
  <si>
    <t>Working Environment : 3.2 - Understanding C++ Build Process &amp; setting up and maintaining multiple game projects optimally where the projects easily check-out and compiles on other computers.</t>
  </si>
  <si>
    <t>Learning evidence and project setup demonstrates poor understanding of the build process in C++.</t>
  </si>
  <si>
    <t>Sufficient understanding of pre-compile and compile stage, but insufficient understanding of Linker stage. Documents not well written to demonstate the learning.</t>
  </si>
  <si>
    <t xml:space="preserve">Shows basic understanding of 3 key phases of C++ build process (precompile, compile and link stage) and reports the learning well in document and applies them in project. Makes suitable judgement of the files that needs to be or does not need to be on Perforce . </t>
  </si>
  <si>
    <t>Shows in depth analysis of the stages of build process in C++ project. 
Only the essential source files for building the game is submitted to perforce atleast 80% of the block.</t>
  </si>
  <si>
    <t>Explore other build option than VS2019. (Commandline and batch files can also be considered)</t>
  </si>
  <si>
    <t>Final build compiles and runs with less than 3 warnings and no errors</t>
  </si>
  <si>
    <t>Source code from perforce can be downloaded and build with no errors and warnings more than 80% of the time throughout the block</t>
  </si>
  <si>
    <t>Missing</t>
  </si>
  <si>
    <t>IS</t>
  </si>
  <si>
    <t>Good</t>
  </si>
  <si>
    <t>Excellent</t>
  </si>
  <si>
    <t>Use of C++ efficiently &amp; effectively and OOP design principles.</t>
  </si>
  <si>
    <t>C++</t>
  </si>
  <si>
    <t>No evidence provided</t>
  </si>
  <si>
    <t>Poor understanding of C++ language constructs</t>
  </si>
  <si>
    <t>Correct usage of basic data types, casting methods, references, and pointers. Understands scope, object lifetime, and control flow</t>
  </si>
  <si>
    <t>Appropriate usage of classes, functions, polymorphism and abstraction. Code runs cleanly without any crashes. Understanding of basic memory primitives such as arrays.</t>
  </si>
  <si>
    <t>Documented reasoning behind decisions with regards to performance and memory usage of chosen algorithms. No memory leaks or undefined behaviour present in the code. Understanding of the stack and heap. Understanding of binary and bitwise operations.</t>
  </si>
  <si>
    <t xml:space="preserve">Applies modern C++ guidelines with a clear reasoning why or why not. Consistent coding style. Const-correct code with clear and defined responsibilities for all objects and functions. </t>
  </si>
  <si>
    <t>OOP</t>
  </si>
  <si>
    <t>BLOCK A</t>
  </si>
  <si>
    <t>ADS&amp;AI Competencies</t>
  </si>
  <si>
    <t>IGAD Phases</t>
  </si>
  <si>
    <t>Knowledge &amp; Insight</t>
  </si>
  <si>
    <t>Application of K&amp;I</t>
  </si>
  <si>
    <t>Can analyse a problem by describing the context, trade-offs and formulation of the final demand (as a result of a process of demand articulation). In doing so, she identifies the possible solutions. As a result, she can formulate an approach for a data trajectory considering relevant actors and interests, involving relevant theories and (technical) possibilities.</t>
  </si>
  <si>
    <t>x</t>
  </si>
  <si>
    <t>Has such knowledge of and insight into one or more domains that she can function as a discussion partner for experts. She is able to quickly immerse herself in new domains and associated professional networks.</t>
  </si>
  <si>
    <t>Can collaborate (internationally) in multidisciplinary teams with different levels of knowledge in the field of data use and applications. She can set up and execute projects in collaboration with stakeholders and team members. She can act as a sounding board in discussions with team members, customers, users and experts. She strives for a good balance between input of her own vision and additional expertise of others. She is able to lead a team.</t>
  </si>
  <si>
    <t>Applies relevant (research) methods and techniques in combination with relevant and adequate argumentation. She can reflect on (business) processes and her role in them, both theoretically and practically, by constantly evaluating her own actions and adapting them with input from others. She can translate the result of the reflection into concrete personal learning objectives.</t>
  </si>
  <si>
    <t>Is aware of legal and ethical aspects within the context of her professional work environment and is able to make substantiated considerations in this regard. She acts from justice and integrity.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</si>
</sst>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1">
    <font>
      <sz val="10"/>
      <color rgb="FF000000"/>
      <name val="Arial"/>
      <scheme val="minor"/>
    </font>
    <font>
      <sz val="10"/>
      <color rgb="FF000000"/>
      <name val="Calibri"/>
      <family val="2"/>
    </font>
    <font>
      <sz val="10"/>
      <name val="Arial"/>
      <family val="2"/>
    </font>
    <font>
      <b/>
      <sz val="10"/>
      <color theme="1"/>
      <name val="Calibri"/>
      <family val="2"/>
    </font>
    <font>
      <sz val="10"/>
      <color theme="1"/>
      <name val="Arial"/>
      <family val="2"/>
    </font>
    <font>
      <sz val="10"/>
      <color rgb="FF000000"/>
      <name val="Arial"/>
      <family val="2"/>
    </font>
    <font>
      <sz val="11"/>
      <color rgb="FF252424"/>
      <name val="Arial"/>
      <family val="2"/>
    </font>
    <font>
      <b/>
      <sz val="20"/>
      <color rgb="FF000000"/>
      <name val="Arial"/>
      <family val="2"/>
    </font>
    <font>
      <b/>
      <sz val="10"/>
      <color rgb="FFFFFFFF"/>
      <name val="Arial"/>
      <family val="2"/>
    </font>
    <font>
      <b/>
      <sz val="10"/>
      <color theme="1"/>
      <name val="Arial"/>
      <family val="2"/>
    </font>
    <font>
      <sz val="9"/>
      <color rgb="FF000000"/>
      <name val="Arial"/>
      <family val="2"/>
    </font>
    <font>
      <i/>
      <sz val="9"/>
      <color rgb="FF000000"/>
      <name val="Arial"/>
      <family val="2"/>
    </font>
    <font>
      <sz val="10"/>
      <color rgb="FF000000"/>
      <name val="Arial"/>
      <family val="2"/>
      <scheme val="minor"/>
    </font>
    <font>
      <sz val="10"/>
      <color theme="1"/>
      <name val="Aptos"/>
      <family val="2"/>
    </font>
    <font>
      <sz val="10"/>
      <color rgb="FF000000"/>
      <name val="Aptos"/>
      <family val="2"/>
    </font>
    <font>
      <sz val="18"/>
      <color theme="1"/>
      <name val="Aptos"/>
      <family val="2"/>
    </font>
    <font>
      <sz val="10"/>
      <name val="Aptos"/>
      <family val="2"/>
    </font>
    <font>
      <sz val="10"/>
      <color theme="0"/>
      <name val="Aptos"/>
      <family val="2"/>
    </font>
    <font>
      <b/>
      <sz val="10"/>
      <color theme="0"/>
      <name val="Aptos"/>
      <family val="2"/>
    </font>
    <font>
      <b/>
      <sz val="10"/>
      <color rgb="FFFFFFFF"/>
      <name val="Aptos"/>
      <family val="2"/>
    </font>
    <font>
      <b/>
      <sz val="14"/>
      <color theme="1"/>
      <name val="Aptos"/>
      <family val="2"/>
    </font>
    <font>
      <b/>
      <sz val="24"/>
      <color theme="1"/>
      <name val="Aptos"/>
      <family val="2"/>
    </font>
    <font>
      <sz val="14"/>
      <color theme="1"/>
      <name val="Aptos"/>
      <family val="2"/>
    </font>
    <font>
      <b/>
      <sz val="10"/>
      <color theme="1"/>
      <name val="Aptos"/>
      <family val="2"/>
    </font>
    <font>
      <sz val="14"/>
      <color rgb="FF000000"/>
      <name val="Aptos"/>
      <family val="2"/>
    </font>
    <font>
      <sz val="9"/>
      <color rgb="FF000000"/>
      <name val="Aptos"/>
      <family val="2"/>
    </font>
    <font>
      <i/>
      <sz val="10"/>
      <color theme="1"/>
      <name val="Aptos"/>
      <family val="2"/>
    </font>
    <font>
      <i/>
      <sz val="18"/>
      <color theme="1"/>
      <name val="Aptos"/>
      <family val="2"/>
    </font>
    <font>
      <sz val="12"/>
      <color theme="0"/>
      <name val="Aptos"/>
      <family val="2"/>
    </font>
    <font>
      <b/>
      <sz val="18"/>
      <color theme="1"/>
      <name val="Aptos"/>
      <family val="2"/>
    </font>
    <font>
      <sz val="18"/>
      <color rgb="FF000000"/>
      <name val="Aptos"/>
      <family val="2"/>
    </font>
    <font>
      <b/>
      <sz val="10"/>
      <name val="Aptos"/>
      <family val="2"/>
    </font>
    <font>
      <b/>
      <sz val="10"/>
      <color rgb="FF000000"/>
      <name val="Calibri"/>
      <family val="2"/>
    </font>
    <font>
      <sz val="20"/>
      <color theme="1"/>
      <name val="Aptos"/>
      <family val="2"/>
    </font>
    <font>
      <b/>
      <sz val="20"/>
      <color theme="1"/>
      <name val="Aptos"/>
      <family val="2"/>
    </font>
    <font>
      <i/>
      <sz val="12"/>
      <color theme="1"/>
      <name val="Aptos"/>
      <family val="2"/>
    </font>
    <font>
      <sz val="12"/>
      <color theme="1"/>
      <name val="Aptos"/>
      <family val="2"/>
    </font>
    <font>
      <b/>
      <sz val="11"/>
      <color rgb="FF000000"/>
      <name val="Aptos"/>
    </font>
    <font>
      <sz val="12"/>
      <color theme="1"/>
      <name val="Aptos"/>
    </font>
    <font>
      <sz val="12"/>
      <color rgb="FFFF0000"/>
      <name val="Aptos"/>
    </font>
    <font>
      <b/>
      <sz val="12"/>
      <color theme="1"/>
      <name val="Aptos"/>
    </font>
    <font>
      <i/>
      <sz val="12"/>
      <color theme="1"/>
      <name val="Aptos"/>
    </font>
    <font>
      <i/>
      <sz val="11"/>
      <color theme="1"/>
      <name val="Arial"/>
      <family val="2"/>
      <scheme val="minor"/>
    </font>
    <font>
      <sz val="14"/>
      <color theme="1"/>
      <name val="Arial"/>
      <family val="2"/>
      <scheme val="minor"/>
    </font>
    <font>
      <sz val="10"/>
      <color rgb="FF000000"/>
      <name val="Aptos"/>
    </font>
    <font>
      <b/>
      <sz val="10"/>
      <color rgb="FF000000"/>
      <name val="Aptos"/>
    </font>
    <font>
      <b/>
      <sz val="20"/>
      <color theme="1"/>
      <name val="Aptos Narrow (Body)"/>
    </font>
    <font>
      <sz val="16"/>
      <color theme="1"/>
      <name val="Arial"/>
      <family val="2"/>
      <scheme val="minor"/>
    </font>
    <font>
      <b/>
      <sz val="11"/>
      <color rgb="FF000000"/>
      <name val="Calibri"/>
      <family val="2"/>
    </font>
    <font>
      <b/>
      <sz val="14"/>
      <color rgb="FF000000"/>
      <name val="Arial"/>
      <family val="2"/>
      <scheme val="minor"/>
    </font>
    <font>
      <b/>
      <sz val="16"/>
      <color theme="4" tint="-0.499984740745262"/>
      <name val="Arial"/>
      <family val="2"/>
      <scheme val="minor"/>
    </font>
  </fonts>
  <fills count="49">
    <fill>
      <patternFill patternType="none"/>
    </fill>
    <fill>
      <patternFill patternType="gray125"/>
    </fill>
    <fill>
      <patternFill patternType="solid">
        <fgColor rgb="FF4C1130"/>
        <bgColor rgb="FF4C1130"/>
      </patternFill>
    </fill>
    <fill>
      <patternFill patternType="solid">
        <fgColor rgb="FFF7DCE8"/>
        <bgColor rgb="FFF7DCE8"/>
      </patternFill>
    </fill>
    <fill>
      <patternFill patternType="solid">
        <fgColor theme="1"/>
        <bgColor theme="1"/>
      </patternFill>
    </fill>
    <fill>
      <patternFill patternType="solid">
        <fgColor rgb="FF000000"/>
        <bgColor rgb="FF000000"/>
      </patternFill>
    </fill>
    <fill>
      <patternFill patternType="solid">
        <fgColor rgb="FFFFFF00"/>
        <bgColor rgb="FFFFFF00"/>
      </patternFill>
    </fill>
    <fill>
      <patternFill patternType="solid">
        <fgColor rgb="FFFFFFFF"/>
        <bgColor rgb="FFFFFFFF"/>
      </patternFill>
    </fill>
    <fill>
      <patternFill patternType="solid">
        <fgColor rgb="FFD9D9D9"/>
        <bgColor rgb="FFD9D9D9"/>
      </patternFill>
    </fill>
    <fill>
      <patternFill patternType="solid">
        <fgColor rgb="FFFFE1CC"/>
        <bgColor rgb="FFFFE1CC"/>
      </patternFill>
    </fill>
    <fill>
      <patternFill patternType="solid">
        <fgColor rgb="FFBDBDBD"/>
        <bgColor rgb="FFBDBDBD"/>
      </patternFill>
    </fill>
    <fill>
      <patternFill patternType="solid">
        <fgColor rgb="FFD5A6BD"/>
        <bgColor rgb="FFD5A6BD"/>
      </patternFill>
    </fill>
    <fill>
      <patternFill patternType="solid">
        <fgColor rgb="FFEAD1DC"/>
        <bgColor rgb="FFEAD1DC"/>
      </patternFill>
    </fill>
    <fill>
      <patternFill patternType="solid">
        <fgColor rgb="FFD9EAD3"/>
        <bgColor rgb="FFD9EAD3"/>
      </patternFill>
    </fill>
    <fill>
      <patternFill patternType="solid">
        <fgColor rgb="FFD9D2E9"/>
        <bgColor rgb="FFD9D2E9"/>
      </patternFill>
    </fill>
    <fill>
      <patternFill patternType="solid">
        <fgColor rgb="FFF3F3F3"/>
        <bgColor rgb="FFF3F3F3"/>
      </patternFill>
    </fill>
    <fill>
      <patternFill patternType="solid">
        <fgColor rgb="FF2F9299"/>
        <bgColor rgb="FF2F9299"/>
      </patternFill>
    </fill>
    <fill>
      <patternFill patternType="solid">
        <fgColor rgb="FF7AD592"/>
        <bgColor rgb="FF7AD592"/>
      </patternFill>
    </fill>
    <fill>
      <patternFill patternType="solid">
        <fgColor rgb="FFFEE1CC"/>
        <bgColor rgb="FFFEE1CC"/>
      </patternFill>
    </fill>
    <fill>
      <patternFill patternType="solid">
        <fgColor rgb="FFE97132"/>
        <bgColor rgb="FF000000"/>
      </patternFill>
    </fill>
    <fill>
      <patternFill patternType="solid">
        <fgColor theme="5" tint="0.79998168889431442"/>
        <bgColor indexed="64"/>
      </patternFill>
    </fill>
    <fill>
      <patternFill patternType="solid">
        <fgColor theme="1"/>
        <bgColor indexed="64"/>
      </patternFill>
    </fill>
    <fill>
      <patternFill patternType="solid">
        <fgColor theme="0" tint="-4.9989318521683403E-2"/>
        <bgColor rgb="FFFFFFFF"/>
      </patternFill>
    </fill>
    <fill>
      <patternFill patternType="solid">
        <fgColor theme="0" tint="-4.9989318521683403E-2"/>
        <bgColor indexed="64"/>
      </patternFill>
    </fill>
    <fill>
      <patternFill patternType="solid">
        <fgColor theme="0" tint="-4.9989318521683403E-2"/>
        <bgColor rgb="FFD9D9D9"/>
      </patternFill>
    </fill>
    <fill>
      <patternFill patternType="solid">
        <fgColor theme="0" tint="-0.249977111117893"/>
        <bgColor rgb="FFF3F3F3"/>
      </patternFill>
    </fill>
    <fill>
      <patternFill patternType="solid">
        <fgColor theme="0" tint="-0.249977111117893"/>
        <bgColor indexed="64"/>
      </patternFill>
    </fill>
    <fill>
      <patternFill patternType="solid">
        <fgColor theme="0" tint="-0.14999847407452621"/>
        <bgColor rgb="FFF3F3F3"/>
      </patternFill>
    </fill>
    <fill>
      <patternFill patternType="solid">
        <fgColor theme="0" tint="-0.14999847407452621"/>
        <bgColor indexed="64"/>
      </patternFill>
    </fill>
    <fill>
      <patternFill patternType="solid">
        <fgColor theme="0" tint="-0.249977111117893"/>
        <bgColor rgb="FFD9D9D9"/>
      </patternFill>
    </fill>
    <fill>
      <patternFill patternType="solid">
        <fgColor theme="0" tint="-0.14999847407452621"/>
        <bgColor rgb="FFD9D9D9"/>
      </patternFill>
    </fill>
    <fill>
      <patternFill patternType="solid">
        <fgColor rgb="FFD0D0D0"/>
        <bgColor rgb="FF000000"/>
      </patternFill>
    </fill>
    <fill>
      <patternFill patternType="solid">
        <fgColor rgb="FFD0D0D0"/>
        <bgColor rgb="FFD8D8D8"/>
      </patternFill>
    </fill>
    <fill>
      <patternFill patternType="solid">
        <fgColor rgb="FFD0D0D0"/>
        <bgColor rgb="FFD9D9D9"/>
      </patternFill>
    </fill>
    <fill>
      <patternFill patternType="solid">
        <fgColor rgb="FFD0D0D0"/>
        <bgColor indexed="64"/>
      </patternFill>
    </fill>
    <fill>
      <patternFill patternType="solid">
        <fgColor rgb="FFB7E2CD"/>
        <bgColor rgb="FFFFE1CC"/>
      </patternFill>
    </fill>
    <fill>
      <patternFill patternType="solid">
        <fgColor rgb="FFEA7131"/>
        <bgColor rgb="FFFFFFFF"/>
      </patternFill>
    </fill>
    <fill>
      <patternFill patternType="solid">
        <fgColor rgb="FFEA7131"/>
        <bgColor rgb="FFFBDAD7"/>
      </patternFill>
    </fill>
    <fill>
      <patternFill patternType="solid">
        <fgColor rgb="FFEA7131"/>
        <bgColor rgb="FFFFE1CC"/>
      </patternFill>
    </fill>
    <fill>
      <patternFill patternType="solid">
        <fgColor rgb="FFEA7131"/>
        <bgColor indexed="64"/>
      </patternFill>
    </fill>
    <fill>
      <patternFill patternType="solid">
        <fgColor rgb="FFFFF2CD"/>
        <bgColor rgb="FFFBDAD7"/>
      </patternFill>
    </fill>
    <fill>
      <patternFill patternType="solid">
        <fgColor rgb="FFFFE1CD"/>
        <bgColor rgb="FFFFE1CC"/>
      </patternFill>
    </fill>
    <fill>
      <patternFill patternType="solid">
        <fgColor rgb="FFFFE1CD"/>
        <bgColor rgb="FFD1F1DA"/>
      </patternFill>
    </fill>
    <fill>
      <patternFill patternType="solid">
        <fgColor rgb="FFFFE1CD"/>
        <bgColor rgb="FFD9E7FD"/>
      </patternFill>
    </fill>
    <fill>
      <patternFill patternType="solid">
        <fgColor rgb="FFFFE1CC"/>
        <bgColor indexed="64"/>
      </patternFill>
    </fill>
    <fill>
      <patternFill patternType="solid">
        <fgColor rgb="FFFFFF00"/>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theme="2" tint="-9.9978637043366805E-2"/>
        <bgColor indexed="64"/>
      </patternFill>
    </fill>
  </fills>
  <borders count="54">
    <border>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theme="1"/>
      </right>
      <top/>
      <bottom/>
      <diagonal/>
    </border>
    <border>
      <left style="thin">
        <color theme="1"/>
      </left>
      <right/>
      <top/>
      <bottom/>
      <diagonal/>
    </border>
    <border>
      <left/>
      <right/>
      <top style="thin">
        <color theme="9" tint="0.39997558519241921"/>
      </top>
      <bottom style="thin">
        <color theme="9" tint="0.39997558519241921"/>
      </bottom>
      <diagonal/>
    </border>
    <border>
      <left style="thin">
        <color theme="1"/>
      </left>
      <right style="thin">
        <color theme="1"/>
      </right>
      <top/>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theme="1"/>
      </top>
      <bottom style="thin">
        <color indexed="64"/>
      </bottom>
      <diagonal/>
    </border>
    <border>
      <left/>
      <right/>
      <top style="thin">
        <color theme="1"/>
      </top>
      <bottom style="thin">
        <color indexed="64"/>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right/>
      <top/>
      <bottom style="thin">
        <color indexed="64"/>
      </bottom>
      <diagonal/>
    </border>
    <border>
      <left/>
      <right style="thin">
        <color indexed="64"/>
      </right>
      <top/>
      <bottom style="thin">
        <color indexed="64"/>
      </bottom>
      <diagonal/>
    </border>
    <border>
      <left/>
      <right style="thin">
        <color theme="1"/>
      </right>
      <top style="thin">
        <color theme="1"/>
      </top>
      <bottom/>
      <diagonal/>
    </border>
    <border>
      <left/>
      <right style="thin">
        <color indexed="64"/>
      </right>
      <top style="thin">
        <color theme="1"/>
      </top>
      <bottom style="thin">
        <color indexed="64"/>
      </bottom>
      <diagonal/>
    </border>
    <border>
      <left/>
      <right style="thin">
        <color theme="1"/>
      </right>
      <top/>
      <bottom style="thin">
        <color theme="1"/>
      </bottom>
      <diagonal/>
    </border>
    <border>
      <left style="thin">
        <color rgb="FF000000"/>
      </left>
      <right style="thin">
        <color rgb="FF000000"/>
      </right>
      <top style="thin">
        <color rgb="FF000000"/>
      </top>
      <bottom/>
      <diagonal/>
    </border>
    <border>
      <left style="thin">
        <color theme="1"/>
      </left>
      <right style="thin">
        <color theme="1"/>
      </right>
      <top style="thin">
        <color indexed="64"/>
      </top>
      <bottom/>
      <diagonal/>
    </border>
    <border>
      <left style="thin">
        <color rgb="FF000000"/>
      </left>
      <right/>
      <top style="thin">
        <color rgb="FF000000"/>
      </top>
      <bottom style="thin">
        <color theme="1"/>
      </bottom>
      <diagonal/>
    </border>
    <border>
      <left/>
      <right/>
      <top style="thin">
        <color rgb="FF000000"/>
      </top>
      <bottom style="thin">
        <color theme="1"/>
      </bottom>
      <diagonal/>
    </border>
    <border>
      <left/>
      <right style="thin">
        <color theme="1"/>
      </right>
      <top style="thin">
        <color rgb="FF000000"/>
      </top>
      <bottom style="thin">
        <color theme="1"/>
      </bottom>
      <diagonal/>
    </border>
    <border>
      <left style="thin">
        <color theme="1"/>
      </left>
      <right/>
      <top style="thin">
        <color theme="1"/>
      </top>
      <bottom/>
      <diagonal/>
    </border>
    <border>
      <left/>
      <right style="thin">
        <color indexed="64"/>
      </right>
      <top style="thin">
        <color theme="1"/>
      </top>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style="thin">
        <color rgb="FF000000"/>
      </right>
      <top/>
      <bottom style="thin">
        <color indexed="64"/>
      </bottom>
      <diagonal/>
    </border>
  </borders>
  <cellStyleXfs count="1">
    <xf numFmtId="0" fontId="0" fillId="0" borderId="0"/>
  </cellStyleXfs>
  <cellXfs count="281">
    <xf numFmtId="0" fontId="0" fillId="0" borderId="0" xfId="0"/>
    <xf numFmtId="0" fontId="4" fillId="0" borderId="0" xfId="0" applyFont="1"/>
    <xf numFmtId="0" fontId="4" fillId="0" borderId="0" xfId="0" applyFont="1" applyAlignment="1">
      <alignment wrapText="1"/>
    </xf>
    <xf numFmtId="0" fontId="4" fillId="0" borderId="0" xfId="0" applyFont="1" applyAlignment="1">
      <alignment vertical="top" wrapText="1"/>
    </xf>
    <xf numFmtId="0" fontId="4" fillId="0" borderId="0" xfId="0" applyFont="1" applyAlignment="1">
      <alignment vertical="center"/>
    </xf>
    <xf numFmtId="0" fontId="5" fillId="0" borderId="0" xfId="0" applyFont="1"/>
    <xf numFmtId="0" fontId="5" fillId="0" borderId="7" xfId="0" applyFont="1" applyBorder="1"/>
    <xf numFmtId="0" fontId="5" fillId="0" borderId="8" xfId="0" applyFont="1" applyBorder="1"/>
    <xf numFmtId="0" fontId="5" fillId="0" borderId="7" xfId="0" applyFont="1" applyBorder="1" applyAlignment="1">
      <alignment horizontal="center" vertical="top"/>
    </xf>
    <xf numFmtId="0" fontId="5" fillId="0" borderId="8" xfId="0" applyFont="1" applyBorder="1" applyAlignment="1">
      <alignment horizontal="center" vertical="top"/>
    </xf>
    <xf numFmtId="0" fontId="5" fillId="0" borderId="9" xfId="0" applyFont="1" applyBorder="1" applyAlignment="1">
      <alignment horizontal="center" vertical="top"/>
    </xf>
    <xf numFmtId="0" fontId="5" fillId="0" borderId="10" xfId="0" applyFont="1" applyBorder="1"/>
    <xf numFmtId="0" fontId="4" fillId="0" borderId="10" xfId="0" applyFont="1" applyBorder="1" applyAlignment="1">
      <alignment horizontal="center" vertical="top" wrapText="1"/>
    </xf>
    <xf numFmtId="0" fontId="4" fillId="0" borderId="0" xfId="0" applyFont="1" applyAlignment="1">
      <alignment horizontal="center" vertical="top" wrapText="1"/>
    </xf>
    <xf numFmtId="0" fontId="4" fillId="0" borderId="11" xfId="0" applyFont="1" applyBorder="1" applyAlignment="1">
      <alignment horizontal="center" vertical="top" wrapText="1"/>
    </xf>
    <xf numFmtId="0" fontId="9" fillId="0" borderId="10" xfId="0" applyFont="1" applyBorder="1" applyAlignment="1">
      <alignment vertical="top"/>
    </xf>
    <xf numFmtId="0" fontId="9" fillId="0" borderId="0" xfId="0" applyFont="1" applyAlignment="1">
      <alignment vertical="top"/>
    </xf>
    <xf numFmtId="0" fontId="9" fillId="0" borderId="11" xfId="0" applyFont="1" applyBorder="1" applyAlignment="1">
      <alignment vertical="top"/>
    </xf>
    <xf numFmtId="0" fontId="4" fillId="17" borderId="12" xfId="0" applyFont="1" applyFill="1" applyBorder="1" applyAlignment="1">
      <alignment horizontal="center" vertical="center"/>
    </xf>
    <xf numFmtId="0" fontId="10" fillId="17" borderId="13" xfId="0" applyFont="1" applyFill="1" applyBorder="1" applyAlignment="1">
      <alignment horizontal="left" vertical="center" wrapText="1"/>
    </xf>
    <xf numFmtId="0" fontId="4" fillId="17" borderId="14" xfId="0" applyFont="1" applyFill="1" applyBorder="1" applyAlignment="1">
      <alignment horizontal="center" vertical="center"/>
    </xf>
    <xf numFmtId="0" fontId="4" fillId="17" borderId="13" xfId="0" applyFont="1" applyFill="1" applyBorder="1" applyAlignment="1">
      <alignment horizontal="center" vertical="center"/>
    </xf>
    <xf numFmtId="0" fontId="5" fillId="0" borderId="15" xfId="0" applyFont="1" applyBorder="1"/>
    <xf numFmtId="0" fontId="4" fillId="18" borderId="12" xfId="0" applyFont="1" applyFill="1" applyBorder="1" applyAlignment="1">
      <alignment horizontal="center" vertical="center"/>
    </xf>
    <xf numFmtId="0" fontId="11" fillId="18" borderId="13" xfId="0" applyFont="1" applyFill="1" applyBorder="1" applyAlignment="1">
      <alignment horizontal="left" vertical="center" wrapText="1"/>
    </xf>
    <xf numFmtId="0" fontId="10" fillId="18" borderId="13" xfId="0" applyFont="1" applyFill="1" applyBorder="1" applyAlignment="1">
      <alignment horizontal="left" vertical="center" wrapText="1"/>
    </xf>
    <xf numFmtId="0" fontId="4" fillId="18" borderId="14" xfId="0" applyFont="1" applyFill="1" applyBorder="1" applyAlignment="1">
      <alignment horizontal="center" vertical="center"/>
    </xf>
    <xf numFmtId="0" fontId="4" fillId="18" borderId="13" xfId="0" applyFont="1" applyFill="1" applyBorder="1" applyAlignment="1">
      <alignment horizontal="center" vertical="center"/>
    </xf>
    <xf numFmtId="0" fontId="4" fillId="18" borderId="16" xfId="0" applyFont="1" applyFill="1" applyBorder="1" applyAlignment="1">
      <alignment horizontal="center" vertical="center"/>
    </xf>
    <xf numFmtId="0" fontId="4" fillId="18" borderId="17" xfId="0" applyFont="1" applyFill="1" applyBorder="1" applyAlignment="1">
      <alignment horizontal="center" vertical="center"/>
    </xf>
    <xf numFmtId="0" fontId="4" fillId="18" borderId="18" xfId="0" applyFont="1" applyFill="1" applyBorder="1" applyAlignment="1">
      <alignment horizontal="center" vertical="center"/>
    </xf>
    <xf numFmtId="0" fontId="4" fillId="6" borderId="1" xfId="0" applyFont="1" applyFill="1" applyBorder="1" applyAlignment="1">
      <alignment wrapText="1"/>
    </xf>
    <xf numFmtId="49" fontId="1" fillId="8" borderId="1" xfId="0" applyNumberFormat="1" applyFont="1" applyFill="1" applyBorder="1" applyAlignment="1">
      <alignment wrapText="1"/>
    </xf>
    <xf numFmtId="0" fontId="5" fillId="7" borderId="1" xfId="0" applyFont="1" applyFill="1" applyBorder="1" applyAlignment="1">
      <alignment horizontal="left" vertical="top" wrapText="1"/>
    </xf>
    <xf numFmtId="0" fontId="5" fillId="11" borderId="1" xfId="0" applyFont="1" applyFill="1" applyBorder="1" applyAlignment="1">
      <alignment horizontal="left" wrapText="1"/>
    </xf>
    <xf numFmtId="0" fontId="4" fillId="12" borderId="1" xfId="0" applyFont="1" applyFill="1" applyBorder="1" applyAlignment="1">
      <alignment wrapText="1"/>
    </xf>
    <xf numFmtId="0" fontId="4" fillId="13" borderId="1" xfId="0" applyFont="1" applyFill="1" applyBorder="1" applyAlignment="1">
      <alignment wrapText="1"/>
    </xf>
    <xf numFmtId="0" fontId="4" fillId="14" borderId="1" xfId="0" applyFont="1" applyFill="1" applyBorder="1" applyAlignment="1">
      <alignment wrapText="1"/>
    </xf>
    <xf numFmtId="0" fontId="4" fillId="11" borderId="1" xfId="0" applyFont="1" applyFill="1" applyBorder="1" applyAlignment="1">
      <alignment wrapText="1"/>
    </xf>
    <xf numFmtId="0" fontId="5" fillId="7" borderId="1" xfId="0" applyFont="1" applyFill="1" applyBorder="1" applyAlignment="1">
      <alignment horizontal="left"/>
    </xf>
    <xf numFmtId="0" fontId="6" fillId="7" borderId="1" xfId="0" applyFont="1" applyFill="1" applyBorder="1"/>
    <xf numFmtId="0" fontId="5" fillId="7" borderId="1" xfId="0" applyFont="1" applyFill="1" applyBorder="1" applyAlignment="1">
      <alignment horizontal="left" wrapText="1"/>
    </xf>
    <xf numFmtId="0" fontId="8" fillId="5" borderId="1" xfId="0" applyFont="1" applyFill="1" applyBorder="1" applyAlignment="1">
      <alignment horizontal="center" vertical="top"/>
    </xf>
    <xf numFmtId="0" fontId="4" fillId="5" borderId="11" xfId="0" applyFont="1" applyFill="1" applyBorder="1" applyAlignment="1">
      <alignment vertical="top"/>
    </xf>
    <xf numFmtId="0" fontId="13" fillId="2" borderId="1" xfId="0" applyFont="1" applyFill="1" applyBorder="1"/>
    <xf numFmtId="0" fontId="14" fillId="0" borderId="0" xfId="0" applyFont="1"/>
    <xf numFmtId="0" fontId="13" fillId="3" borderId="1" xfId="0" applyFont="1" applyFill="1" applyBorder="1"/>
    <xf numFmtId="0" fontId="17" fillId="3" borderId="1" xfId="0" applyFont="1" applyFill="1" applyBorder="1"/>
    <xf numFmtId="0" fontId="17" fillId="0" borderId="0" xfId="0" applyFont="1"/>
    <xf numFmtId="0" fontId="20" fillId="3" borderId="1" xfId="0" applyFont="1" applyFill="1" applyBorder="1" applyAlignment="1">
      <alignment horizontal="center" vertical="center" textRotation="90"/>
    </xf>
    <xf numFmtId="49" fontId="19" fillId="5" borderId="1" xfId="0" applyNumberFormat="1" applyFont="1" applyFill="1" applyBorder="1" applyAlignment="1">
      <alignment horizontal="center"/>
    </xf>
    <xf numFmtId="49" fontId="19" fillId="5" borderId="1" xfId="0" applyNumberFormat="1" applyFont="1" applyFill="1" applyBorder="1"/>
    <xf numFmtId="49" fontId="19" fillId="5" borderId="1" xfId="0" applyNumberFormat="1" applyFont="1" applyFill="1" applyBorder="1" applyAlignment="1">
      <alignment vertical="top"/>
    </xf>
    <xf numFmtId="0" fontId="24" fillId="8" borderId="1" xfId="0" applyFont="1" applyFill="1" applyBorder="1" applyAlignment="1">
      <alignment horizontal="center" vertical="center" wrapText="1"/>
    </xf>
    <xf numFmtId="0" fontId="24" fillId="3" borderId="1" xfId="0" applyFont="1" applyFill="1" applyBorder="1" applyAlignment="1">
      <alignment horizontal="center" vertical="center" wrapText="1"/>
    </xf>
    <xf numFmtId="0" fontId="13" fillId="3" borderId="1" xfId="0" applyFont="1" applyFill="1" applyBorder="1" applyAlignment="1">
      <alignment horizontal="left" vertical="top"/>
    </xf>
    <xf numFmtId="0" fontId="14" fillId="0" borderId="0" xfId="0" applyFont="1" applyAlignment="1">
      <alignment horizontal="left" vertical="top"/>
    </xf>
    <xf numFmtId="0" fontId="13" fillId="3" borderId="1" xfId="0" applyFont="1" applyFill="1" applyBorder="1" applyAlignment="1">
      <alignment horizontal="center" vertical="top"/>
    </xf>
    <xf numFmtId="0" fontId="14" fillId="0" borderId="0" xfId="0" applyFont="1" applyAlignment="1">
      <alignment horizontal="center" vertical="top"/>
    </xf>
    <xf numFmtId="0" fontId="13" fillId="3" borderId="0" xfId="0" applyFont="1" applyFill="1"/>
    <xf numFmtId="49" fontId="13" fillId="6" borderId="19" xfId="0" applyNumberFormat="1" applyFont="1" applyFill="1" applyBorder="1" applyAlignment="1">
      <alignment horizontal="center" vertical="center"/>
    </xf>
    <xf numFmtId="49" fontId="26" fillId="6" borderId="19" xfId="0" applyNumberFormat="1" applyFont="1" applyFill="1" applyBorder="1" applyAlignment="1">
      <alignment horizontal="center" vertical="center"/>
    </xf>
    <xf numFmtId="49" fontId="18" fillId="4" borderId="1" xfId="0" applyNumberFormat="1" applyFont="1" applyFill="1" applyBorder="1" applyAlignment="1">
      <alignment horizontal="center"/>
    </xf>
    <xf numFmtId="0" fontId="19" fillId="5" borderId="1" xfId="0" applyFont="1" applyFill="1" applyBorder="1" applyAlignment="1">
      <alignment horizontal="center" vertical="center"/>
    </xf>
    <xf numFmtId="0" fontId="14" fillId="7" borderId="1" xfId="0" applyFont="1" applyFill="1" applyBorder="1" applyAlignment="1">
      <alignment horizontal="center" vertical="center" wrapText="1"/>
    </xf>
    <xf numFmtId="0" fontId="28" fillId="0" borderId="1" xfId="0" applyFont="1" applyBorder="1" applyAlignment="1">
      <alignment horizontal="center" vertical="center" wrapText="1"/>
    </xf>
    <xf numFmtId="0" fontId="19" fillId="5" borderId="1" xfId="0" applyFont="1" applyFill="1" applyBorder="1" applyAlignment="1">
      <alignment vertical="center"/>
    </xf>
    <xf numFmtId="0" fontId="22" fillId="7" borderId="25" xfId="0" applyFont="1" applyFill="1" applyBorder="1" applyAlignment="1">
      <alignment horizontal="center" vertical="center"/>
    </xf>
    <xf numFmtId="0" fontId="24" fillId="3" borderId="25" xfId="0" applyFont="1" applyFill="1" applyBorder="1" applyAlignment="1">
      <alignment horizontal="center" vertical="center" wrapText="1"/>
    </xf>
    <xf numFmtId="0" fontId="24" fillId="10" borderId="27" xfId="0" applyFont="1" applyFill="1" applyBorder="1" applyAlignment="1">
      <alignment horizontal="center" vertical="center" wrapText="1"/>
    </xf>
    <xf numFmtId="0" fontId="24" fillId="10" borderId="25" xfId="0" applyFont="1" applyFill="1" applyBorder="1" applyAlignment="1">
      <alignment horizontal="center" vertical="center" wrapText="1"/>
    </xf>
    <xf numFmtId="0" fontId="24" fillId="3" borderId="26" xfId="0" applyFont="1" applyFill="1" applyBorder="1" applyAlignment="1">
      <alignment horizontal="center" vertical="center" wrapText="1"/>
    </xf>
    <xf numFmtId="0" fontId="24" fillId="3" borderId="27" xfId="0" applyFont="1" applyFill="1" applyBorder="1" applyAlignment="1">
      <alignment horizontal="center" vertical="center" wrapText="1"/>
    </xf>
    <xf numFmtId="0" fontId="22" fillId="7" borderId="26" xfId="0" applyFont="1" applyFill="1" applyBorder="1" applyAlignment="1">
      <alignment horizontal="center" vertical="center"/>
    </xf>
    <xf numFmtId="0" fontId="22" fillId="7" borderId="27" xfId="0" applyFont="1" applyFill="1" applyBorder="1" applyAlignment="1">
      <alignment horizontal="center" vertical="center"/>
    </xf>
    <xf numFmtId="0" fontId="24" fillId="10" borderId="26" xfId="0" applyFont="1" applyFill="1" applyBorder="1" applyAlignment="1">
      <alignment horizontal="center" vertical="center" wrapText="1"/>
    </xf>
    <xf numFmtId="0" fontId="24" fillId="10" borderId="24" xfId="0" applyFont="1" applyFill="1" applyBorder="1" applyAlignment="1">
      <alignment horizontal="center" vertical="center" wrapText="1"/>
    </xf>
    <xf numFmtId="0" fontId="22" fillId="7" borderId="1" xfId="0" applyFont="1" applyFill="1" applyBorder="1" applyAlignment="1">
      <alignment horizontal="center" vertical="center"/>
    </xf>
    <xf numFmtId="0" fontId="24" fillId="10" borderId="1" xfId="0" applyFont="1" applyFill="1" applyBorder="1" applyAlignment="1">
      <alignment horizontal="center" vertical="center"/>
    </xf>
    <xf numFmtId="0" fontId="24" fillId="3" borderId="1" xfId="0" applyFont="1" applyFill="1" applyBorder="1" applyAlignment="1">
      <alignment horizontal="center" vertical="center"/>
    </xf>
    <xf numFmtId="0" fontId="16" fillId="19" borderId="1" xfId="0" applyFont="1" applyFill="1" applyBorder="1"/>
    <xf numFmtId="0" fontId="19" fillId="20" borderId="0" xfId="0" applyFont="1" applyFill="1" applyAlignment="1">
      <alignment vertical="top"/>
    </xf>
    <xf numFmtId="0" fontId="19" fillId="20" borderId="0" xfId="0" applyFont="1" applyFill="1" applyAlignment="1">
      <alignment horizontal="center" vertical="top"/>
    </xf>
    <xf numFmtId="0" fontId="24" fillId="20" borderId="0" xfId="0" applyFont="1" applyFill="1" applyAlignment="1">
      <alignment horizontal="center" vertical="center" wrapText="1"/>
    </xf>
    <xf numFmtId="0" fontId="19" fillId="5" borderId="0" xfId="0" applyFont="1" applyFill="1" applyAlignment="1">
      <alignment vertical="top"/>
    </xf>
    <xf numFmtId="0" fontId="14" fillId="21" borderId="0" xfId="0" applyFont="1" applyFill="1"/>
    <xf numFmtId="0" fontId="19" fillId="5" borderId="0" xfId="0" applyFont="1" applyFill="1" applyAlignment="1">
      <alignment horizontal="right" vertical="top"/>
    </xf>
    <xf numFmtId="0" fontId="23" fillId="22" borderId="0" xfId="0" applyFont="1" applyFill="1" applyAlignment="1">
      <alignment vertical="center" wrapText="1"/>
    </xf>
    <xf numFmtId="0" fontId="25" fillId="23" borderId="0" xfId="0" applyFont="1" applyFill="1" applyAlignment="1">
      <alignment horizontal="left" vertical="center" wrapText="1"/>
    </xf>
    <xf numFmtId="0" fontId="16" fillId="22" borderId="0" xfId="0" applyFont="1" applyFill="1" applyAlignment="1">
      <alignment horizontal="center" vertical="center"/>
    </xf>
    <xf numFmtId="0" fontId="23" fillId="24" borderId="0" xfId="0" applyFont="1" applyFill="1" applyAlignment="1">
      <alignment vertical="center" wrapText="1"/>
    </xf>
    <xf numFmtId="0" fontId="16" fillId="24" borderId="0" xfId="0" applyFont="1" applyFill="1" applyAlignment="1">
      <alignment horizontal="center" vertical="center"/>
    </xf>
    <xf numFmtId="0" fontId="23" fillId="25" borderId="0" xfId="0" applyFont="1" applyFill="1" applyAlignment="1">
      <alignment vertical="center" wrapText="1"/>
    </xf>
    <xf numFmtId="0" fontId="25" fillId="26" borderId="0" xfId="0" applyFont="1" applyFill="1" applyAlignment="1">
      <alignment horizontal="left" vertical="center" wrapText="1"/>
    </xf>
    <xf numFmtId="0" fontId="16" fillId="25" borderId="0" xfId="0" applyFont="1" applyFill="1" applyAlignment="1">
      <alignment horizontal="center" vertical="center"/>
    </xf>
    <xf numFmtId="0" fontId="23" fillId="27" borderId="0" xfId="0" applyFont="1" applyFill="1" applyAlignment="1">
      <alignment vertical="center" wrapText="1"/>
    </xf>
    <xf numFmtId="0" fontId="25" fillId="28" borderId="0" xfId="0" applyFont="1" applyFill="1" applyAlignment="1">
      <alignment horizontal="left" vertical="center" wrapText="1"/>
    </xf>
    <xf numFmtId="0" fontId="16" fillId="27" borderId="0" xfId="0" applyFont="1" applyFill="1" applyAlignment="1">
      <alignment horizontal="center" vertical="center"/>
    </xf>
    <xf numFmtId="0" fontId="23" fillId="29" borderId="0" xfId="0" applyFont="1" applyFill="1" applyAlignment="1">
      <alignment vertical="center" wrapText="1"/>
    </xf>
    <xf numFmtId="0" fontId="16" fillId="29" borderId="0" xfId="0" applyFont="1" applyFill="1" applyAlignment="1">
      <alignment horizontal="center" vertical="center"/>
    </xf>
    <xf numFmtId="0" fontId="24" fillId="20" borderId="0" xfId="0" applyFont="1" applyFill="1" applyAlignment="1">
      <alignment horizontal="left" vertical="top" wrapText="1"/>
    </xf>
    <xf numFmtId="0" fontId="23" fillId="30" borderId="0" xfId="0" applyFont="1" applyFill="1" applyAlignment="1">
      <alignment vertical="center" wrapText="1"/>
    </xf>
    <xf numFmtId="0" fontId="16" fillId="30" borderId="0" xfId="0" applyFont="1" applyFill="1" applyAlignment="1">
      <alignment horizontal="center" vertical="center"/>
    </xf>
    <xf numFmtId="0" fontId="24" fillId="20" borderId="0" xfId="0" applyFont="1" applyFill="1" applyAlignment="1">
      <alignment horizontal="center" vertical="top" wrapText="1"/>
    </xf>
    <xf numFmtId="0" fontId="16" fillId="20" borderId="0" xfId="0" applyFont="1" applyFill="1"/>
    <xf numFmtId="0" fontId="14" fillId="20" borderId="0" xfId="0" applyFont="1" applyFill="1"/>
    <xf numFmtId="0" fontId="19" fillId="5" borderId="0" xfId="0" applyFont="1" applyFill="1"/>
    <xf numFmtId="0" fontId="19" fillId="5" borderId="0" xfId="0" applyFont="1" applyFill="1" applyAlignment="1">
      <alignment wrapText="1"/>
    </xf>
    <xf numFmtId="0" fontId="31" fillId="0" borderId="0" xfId="0" applyFont="1" applyAlignment="1">
      <alignment horizontal="left"/>
    </xf>
    <xf numFmtId="0" fontId="16" fillId="0" borderId="0" xfId="0" applyFont="1" applyAlignment="1">
      <alignment wrapText="1"/>
    </xf>
    <xf numFmtId="0" fontId="31" fillId="8" borderId="0" xfId="0" applyFont="1" applyFill="1" applyAlignment="1">
      <alignment horizontal="left"/>
    </xf>
    <xf numFmtId="0" fontId="16" fillId="8" borderId="0" xfId="0" applyFont="1" applyFill="1" applyAlignment="1">
      <alignment wrapText="1"/>
    </xf>
    <xf numFmtId="0" fontId="14" fillId="0" borderId="19" xfId="0" applyFont="1" applyBorder="1"/>
    <xf numFmtId="0" fontId="14" fillId="0" borderId="29" xfId="0" applyFont="1" applyBorder="1"/>
    <xf numFmtId="0" fontId="13" fillId="20" borderId="0" xfId="0" applyFont="1" applyFill="1"/>
    <xf numFmtId="0" fontId="16" fillId="20" borderId="0" xfId="0" applyFont="1" applyFill="1" applyAlignment="1">
      <alignment horizontal="left" vertical="top"/>
    </xf>
    <xf numFmtId="0" fontId="13" fillId="20" borderId="0" xfId="0" applyFont="1" applyFill="1" applyAlignment="1">
      <alignment vertical="top"/>
    </xf>
    <xf numFmtId="0" fontId="19" fillId="20" borderId="0" xfId="0" applyFont="1" applyFill="1"/>
    <xf numFmtId="0" fontId="32" fillId="31" borderId="19" xfId="0" applyFont="1" applyFill="1" applyBorder="1" applyAlignment="1">
      <alignment horizontal="center" vertical="center" wrapText="1"/>
    </xf>
    <xf numFmtId="0" fontId="23" fillId="33" borderId="35" xfId="0" applyFont="1" applyFill="1" applyBorder="1" applyAlignment="1">
      <alignment horizontal="center" vertical="center" wrapText="1"/>
    </xf>
    <xf numFmtId="0" fontId="23" fillId="33" borderId="25" xfId="0" applyFont="1" applyFill="1" applyBorder="1" applyAlignment="1">
      <alignment horizontal="center" vertical="center" wrapText="1"/>
    </xf>
    <xf numFmtId="0" fontId="24" fillId="8" borderId="19" xfId="0" applyFont="1" applyFill="1" applyBorder="1" applyAlignment="1">
      <alignment horizontal="center" vertical="center" wrapText="1"/>
    </xf>
    <xf numFmtId="0" fontId="24" fillId="3" borderId="19" xfId="0" applyFont="1" applyFill="1" applyBorder="1" applyAlignment="1">
      <alignment horizontal="center" vertical="center" wrapText="1"/>
    </xf>
    <xf numFmtId="0" fontId="22" fillId="7" borderId="19" xfId="0" applyFont="1" applyFill="1" applyBorder="1" applyAlignment="1">
      <alignment horizontal="center" vertical="center"/>
    </xf>
    <xf numFmtId="0" fontId="24" fillId="10" borderId="19" xfId="0" applyFont="1" applyFill="1" applyBorder="1" applyAlignment="1">
      <alignment horizontal="center" vertical="center"/>
    </xf>
    <xf numFmtId="0" fontId="24" fillId="3" borderId="19" xfId="0" applyFont="1" applyFill="1" applyBorder="1" applyAlignment="1">
      <alignment horizontal="center" vertical="center"/>
    </xf>
    <xf numFmtId="0" fontId="24" fillId="3" borderId="27" xfId="0" applyFont="1" applyFill="1" applyBorder="1" applyAlignment="1">
      <alignment horizontal="center" vertical="center"/>
    </xf>
    <xf numFmtId="0" fontId="24" fillId="3" borderId="25" xfId="0" applyFont="1" applyFill="1" applyBorder="1" applyAlignment="1">
      <alignment vertical="center"/>
    </xf>
    <xf numFmtId="0" fontId="24" fillId="10" borderId="19" xfId="0" applyFont="1" applyFill="1" applyBorder="1" applyAlignment="1">
      <alignment horizontal="center" vertical="center" wrapText="1"/>
    </xf>
    <xf numFmtId="0" fontId="22" fillId="7" borderId="19" xfId="0" applyFont="1" applyFill="1" applyBorder="1" applyAlignment="1">
      <alignment vertical="center"/>
    </xf>
    <xf numFmtId="0" fontId="24" fillId="10" borderId="19" xfId="0" applyFont="1" applyFill="1" applyBorder="1" applyAlignment="1">
      <alignment vertical="center" wrapText="1"/>
    </xf>
    <xf numFmtId="0" fontId="24" fillId="3" borderId="19" xfId="0" applyFont="1" applyFill="1" applyBorder="1" applyAlignment="1">
      <alignment vertical="center" wrapText="1"/>
    </xf>
    <xf numFmtId="0" fontId="36" fillId="37" borderId="19" xfId="0" applyFont="1" applyFill="1" applyBorder="1" applyAlignment="1">
      <alignment horizontal="center" vertical="center" wrapText="1"/>
    </xf>
    <xf numFmtId="0" fontId="36" fillId="38" borderId="28" xfId="0" applyFont="1" applyFill="1" applyBorder="1" applyAlignment="1">
      <alignment horizontal="center" vertical="center" wrapText="1"/>
    </xf>
    <xf numFmtId="0" fontId="36" fillId="38" borderId="19" xfId="0" applyFont="1" applyFill="1" applyBorder="1" applyAlignment="1">
      <alignment horizontal="center" vertical="center" wrapText="1"/>
    </xf>
    <xf numFmtId="0" fontId="14" fillId="40" borderId="29" xfId="0" applyFont="1" applyFill="1" applyBorder="1" applyAlignment="1">
      <alignment horizontal="left" vertical="center" wrapText="1"/>
    </xf>
    <xf numFmtId="0" fontId="14" fillId="41" borderId="29" xfId="0" applyFont="1" applyFill="1" applyBorder="1" applyAlignment="1">
      <alignment horizontal="left" vertical="center" wrapText="1"/>
    </xf>
    <xf numFmtId="0" fontId="13" fillId="42" borderId="29" xfId="0" applyFont="1" applyFill="1" applyBorder="1" applyAlignment="1">
      <alignment horizontal="left" vertical="center" wrapText="1"/>
    </xf>
    <xf numFmtId="0" fontId="13" fillId="43" borderId="30" xfId="0" applyFont="1" applyFill="1" applyBorder="1" applyAlignment="1">
      <alignment horizontal="left" vertical="center" wrapText="1"/>
    </xf>
    <xf numFmtId="0" fontId="23" fillId="33" borderId="36" xfId="0" applyFont="1" applyFill="1" applyBorder="1" applyAlignment="1">
      <alignment horizontal="center" vertical="center" wrapText="1"/>
    </xf>
    <xf numFmtId="0" fontId="36" fillId="37" borderId="28" xfId="0" applyFont="1" applyFill="1" applyBorder="1" applyAlignment="1">
      <alignment horizontal="center" vertical="center" wrapText="1"/>
    </xf>
    <xf numFmtId="0" fontId="14" fillId="9" borderId="13" xfId="0" applyFont="1" applyFill="1" applyBorder="1" applyAlignment="1">
      <alignment vertical="center" wrapText="1"/>
    </xf>
    <xf numFmtId="0" fontId="23" fillId="33" borderId="40" xfId="0" applyFont="1" applyFill="1" applyBorder="1" applyAlignment="1">
      <alignment horizontal="center" vertical="center" wrapText="1"/>
    </xf>
    <xf numFmtId="0" fontId="23" fillId="33" borderId="13" xfId="0" applyFont="1" applyFill="1" applyBorder="1" applyAlignment="1">
      <alignment horizontal="center" vertical="center" wrapText="1"/>
    </xf>
    <xf numFmtId="0" fontId="36" fillId="38" borderId="13" xfId="0" applyFont="1" applyFill="1" applyBorder="1" applyAlignment="1">
      <alignment horizontal="center" vertical="center" wrapText="1"/>
    </xf>
    <xf numFmtId="0" fontId="1" fillId="44" borderId="19" xfId="0" applyFont="1" applyFill="1" applyBorder="1" applyAlignment="1">
      <alignment vertical="top" wrapText="1"/>
    </xf>
    <xf numFmtId="0" fontId="38" fillId="0" borderId="13" xfId="0" applyFont="1" applyBorder="1"/>
    <xf numFmtId="0" fontId="38" fillId="0" borderId="13" xfId="0" applyFont="1" applyBorder="1" applyAlignment="1">
      <alignment horizontal="center"/>
    </xf>
    <xf numFmtId="0" fontId="38" fillId="0" borderId="13" xfId="0" quotePrefix="1" applyFont="1" applyBorder="1" applyAlignment="1">
      <alignment horizontal="center"/>
    </xf>
    <xf numFmtId="0" fontId="38" fillId="0" borderId="0" xfId="0" applyFont="1" applyAlignment="1">
      <alignment horizontal="left"/>
    </xf>
    <xf numFmtId="0" fontId="40" fillId="0" borderId="13" xfId="0" applyFont="1" applyBorder="1" applyAlignment="1">
      <alignment horizontal="center"/>
    </xf>
    <xf numFmtId="0" fontId="41" fillId="0" borderId="13" xfId="0" applyFont="1" applyBorder="1"/>
    <xf numFmtId="0" fontId="42" fillId="0" borderId="0" xfId="0" applyFont="1"/>
    <xf numFmtId="0" fontId="38" fillId="0" borderId="13" xfId="0" applyFont="1" applyBorder="1" applyAlignment="1">
      <alignment horizontal="left"/>
    </xf>
    <xf numFmtId="0" fontId="43" fillId="0" borderId="0" xfId="0" applyFont="1"/>
    <xf numFmtId="0" fontId="38" fillId="45" borderId="13" xfId="0" applyFont="1" applyFill="1" applyBorder="1"/>
    <xf numFmtId="0" fontId="38" fillId="45" borderId="13" xfId="0" applyFont="1" applyFill="1" applyBorder="1" applyAlignment="1">
      <alignment horizontal="center"/>
    </xf>
    <xf numFmtId="0" fontId="39" fillId="45" borderId="13" xfId="0" applyFont="1" applyFill="1" applyBorder="1" applyAlignment="1">
      <alignment horizontal="center"/>
    </xf>
    <xf numFmtId="0" fontId="43" fillId="45" borderId="0" xfId="0" applyFont="1" applyFill="1"/>
    <xf numFmtId="0" fontId="0" fillId="45" borderId="0" xfId="0" applyFill="1"/>
    <xf numFmtId="0" fontId="14" fillId="40" borderId="30" xfId="0" applyFont="1" applyFill="1" applyBorder="1" applyAlignment="1">
      <alignment horizontal="left" vertical="center" wrapText="1"/>
    </xf>
    <xf numFmtId="0" fontId="22" fillId="7" borderId="31" xfId="0" applyFont="1" applyFill="1" applyBorder="1" applyAlignment="1">
      <alignment horizontal="center" vertical="center"/>
    </xf>
    <xf numFmtId="0" fontId="22" fillId="7" borderId="42" xfId="0" applyFont="1" applyFill="1" applyBorder="1" applyAlignment="1">
      <alignment horizontal="center" vertical="center"/>
    </xf>
    <xf numFmtId="0" fontId="36" fillId="38" borderId="12" xfId="0" applyFont="1" applyFill="1" applyBorder="1" applyAlignment="1">
      <alignment horizontal="center" vertical="center" wrapText="1"/>
    </xf>
    <xf numFmtId="0" fontId="14" fillId="9" borderId="43" xfId="0" applyFont="1" applyFill="1" applyBorder="1" applyAlignment="1">
      <alignment horizontal="left" vertical="center" wrapText="1"/>
    </xf>
    <xf numFmtId="0" fontId="1" fillId="44" borderId="19" xfId="0" applyFont="1" applyFill="1" applyBorder="1" applyAlignment="1">
      <alignment vertical="center" wrapText="1"/>
    </xf>
    <xf numFmtId="0" fontId="14" fillId="9" borderId="13" xfId="0" applyFont="1" applyFill="1" applyBorder="1" applyAlignment="1">
      <alignment horizontal="center" vertical="center" wrapText="1"/>
    </xf>
    <xf numFmtId="0" fontId="24" fillId="8" borderId="31" xfId="0" applyFont="1" applyFill="1" applyBorder="1" applyAlignment="1">
      <alignment horizontal="center" vertical="center" wrapText="1"/>
    </xf>
    <xf numFmtId="0" fontId="22" fillId="7" borderId="37" xfId="0" applyFont="1" applyFill="1" applyBorder="1" applyAlignment="1">
      <alignment vertical="center"/>
    </xf>
    <xf numFmtId="0" fontId="13" fillId="0" borderId="1" xfId="0" applyFont="1" applyBorder="1" applyAlignment="1">
      <alignment horizontal="left" vertical="center" wrapText="1"/>
    </xf>
    <xf numFmtId="0" fontId="14" fillId="9" borderId="13" xfId="0" applyFont="1" applyFill="1" applyBorder="1" applyAlignment="1">
      <alignment horizontal="left" vertical="center" wrapText="1"/>
    </xf>
    <xf numFmtId="0" fontId="46" fillId="0" borderId="38" xfId="0" applyFont="1" applyBorder="1"/>
    <xf numFmtId="0" fontId="47" fillId="0" borderId="0" xfId="0" applyFont="1"/>
    <xf numFmtId="9" fontId="0" fillId="46" borderId="0" xfId="0" applyNumberFormat="1" applyFill="1" applyAlignment="1">
      <alignment horizontal="center"/>
    </xf>
    <xf numFmtId="9" fontId="0" fillId="47" borderId="0" xfId="0" applyNumberFormat="1" applyFill="1" applyAlignment="1">
      <alignment horizontal="center"/>
    </xf>
    <xf numFmtId="0" fontId="14" fillId="9" borderId="20" xfId="0" applyFont="1" applyFill="1" applyBorder="1" applyAlignment="1">
      <alignment horizontal="left" vertical="center" wrapText="1"/>
    </xf>
    <xf numFmtId="0" fontId="0" fillId="0" borderId="1" xfId="0" applyBorder="1"/>
    <xf numFmtId="0" fontId="14" fillId="0" borderId="1" xfId="0" applyFont="1" applyBorder="1" applyAlignment="1">
      <alignment horizontal="center" vertical="top"/>
    </xf>
    <xf numFmtId="0" fontId="1" fillId="0" borderId="1" xfId="0" applyFont="1" applyBorder="1" applyAlignment="1">
      <alignment vertical="center" wrapText="1"/>
    </xf>
    <xf numFmtId="0" fontId="13" fillId="43" borderId="53" xfId="0" applyFont="1" applyFill="1" applyBorder="1" applyAlignment="1">
      <alignment horizontal="left" vertical="center" wrapText="1"/>
    </xf>
    <xf numFmtId="0" fontId="49" fillId="0" borderId="0" xfId="0" applyFont="1" applyAlignment="1">
      <alignment horizontal="center" vertical="center"/>
    </xf>
    <xf numFmtId="0" fontId="0" fillId="0" borderId="0" xfId="0" applyAlignment="1">
      <alignment vertical="center"/>
    </xf>
    <xf numFmtId="0" fontId="43" fillId="0" borderId="38" xfId="0" applyFont="1" applyBorder="1" applyAlignment="1">
      <alignment horizontal="center" vertical="center"/>
    </xf>
    <xf numFmtId="0" fontId="43" fillId="0" borderId="0" xfId="0" applyFont="1" applyAlignment="1">
      <alignment horizontal="center" vertical="center"/>
    </xf>
    <xf numFmtId="0" fontId="14" fillId="8" borderId="0" xfId="0" applyFont="1" applyFill="1" applyAlignment="1">
      <alignment wrapText="1"/>
    </xf>
    <xf numFmtId="0" fontId="14" fillId="8" borderId="0" xfId="0" applyFont="1" applyFill="1" applyAlignment="1">
      <alignment horizontal="left" wrapText="1"/>
    </xf>
    <xf numFmtId="0" fontId="14" fillId="0" borderId="0" xfId="0" applyFont="1" applyAlignment="1">
      <alignment wrapText="1"/>
    </xf>
    <xf numFmtId="0" fontId="14" fillId="0" borderId="0" xfId="0" applyFont="1" applyAlignment="1">
      <alignment horizontal="left" wrapText="1"/>
    </xf>
    <xf numFmtId="0" fontId="44" fillId="41" borderId="33" xfId="0" applyFont="1" applyFill="1" applyBorder="1" applyAlignment="1">
      <alignment horizontal="left" vertical="center" wrapText="1"/>
    </xf>
    <xf numFmtId="0" fontId="14" fillId="41" borderId="34" xfId="0" applyFont="1" applyFill="1" applyBorder="1" applyAlignment="1">
      <alignment horizontal="left" vertical="center" wrapText="1"/>
    </xf>
    <xf numFmtId="0" fontId="14" fillId="41" borderId="41" xfId="0" applyFont="1" applyFill="1" applyBorder="1" applyAlignment="1">
      <alignment horizontal="left" vertical="center" wrapText="1"/>
    </xf>
    <xf numFmtId="0" fontId="25" fillId="26" borderId="0" xfId="0" applyFont="1" applyFill="1" applyAlignment="1">
      <alignment horizontal="left" vertical="center" wrapText="1"/>
    </xf>
    <xf numFmtId="0" fontId="34" fillId="0" borderId="19" xfId="0" applyFont="1" applyBorder="1" applyAlignment="1">
      <alignment horizontal="center" vertical="center" wrapText="1"/>
    </xf>
    <xf numFmtId="0" fontId="34" fillId="39" borderId="1" xfId="0" applyFont="1" applyFill="1" applyBorder="1" applyAlignment="1">
      <alignment horizontal="center" vertical="center" wrapText="1"/>
    </xf>
    <xf numFmtId="0" fontId="24" fillId="10" borderId="1" xfId="0" applyFont="1" applyFill="1" applyBorder="1" applyAlignment="1">
      <alignment horizontal="center" vertical="center" wrapText="1"/>
    </xf>
    <xf numFmtId="0" fontId="24" fillId="10" borderId="0" xfId="0" applyFont="1" applyFill="1" applyAlignment="1">
      <alignment horizontal="center" vertical="center" wrapText="1"/>
    </xf>
    <xf numFmtId="0" fontId="23" fillId="33" borderId="1" xfId="0" applyFont="1" applyFill="1" applyBorder="1" applyAlignment="1">
      <alignment horizontal="left" vertical="center" wrapText="1"/>
    </xf>
    <xf numFmtId="0" fontId="25" fillId="23" borderId="0" xfId="0" applyFont="1" applyFill="1" applyAlignment="1">
      <alignment horizontal="left" vertical="center" wrapText="1"/>
    </xf>
    <xf numFmtId="0" fontId="25" fillId="28" borderId="0" xfId="0" applyFont="1" applyFill="1" applyAlignment="1">
      <alignment horizontal="left" vertical="center" wrapText="1"/>
    </xf>
    <xf numFmtId="0" fontId="19" fillId="5" borderId="0" xfId="0" applyFont="1" applyFill="1" applyAlignment="1">
      <alignment wrapText="1"/>
    </xf>
    <xf numFmtId="0" fontId="33" fillId="35" borderId="1" xfId="0" applyFont="1" applyFill="1" applyBorder="1" applyAlignment="1">
      <alignment horizontal="center" vertical="center" wrapText="1"/>
    </xf>
    <xf numFmtId="0" fontId="19" fillId="5" borderId="0" xfId="0" applyFont="1" applyFill="1" applyAlignment="1">
      <alignment vertical="top"/>
    </xf>
    <xf numFmtId="0" fontId="44" fillId="7" borderId="38" xfId="0" applyFont="1" applyFill="1" applyBorder="1" applyAlignment="1">
      <alignment horizontal="left" vertical="center" wrapText="1"/>
    </xf>
    <xf numFmtId="0" fontId="13" fillId="7" borderId="39" xfId="0" applyFont="1" applyFill="1" applyBorder="1" applyAlignment="1">
      <alignment horizontal="left" vertical="center" wrapText="1"/>
    </xf>
    <xf numFmtId="0" fontId="35" fillId="36" borderId="31" xfId="0" applyFont="1" applyFill="1" applyBorder="1" applyAlignment="1">
      <alignment horizontal="center" vertical="center" wrapText="1"/>
    </xf>
    <xf numFmtId="0" fontId="35" fillId="36" borderId="19" xfId="0" applyFont="1" applyFill="1" applyBorder="1" applyAlignment="1">
      <alignment horizontal="center" vertical="center" wrapText="1"/>
    </xf>
    <xf numFmtId="0" fontId="37" fillId="33" borderId="1" xfId="0" applyFont="1" applyFill="1" applyBorder="1" applyAlignment="1">
      <alignment horizontal="left" vertical="center" wrapText="1"/>
    </xf>
    <xf numFmtId="0" fontId="23" fillId="33" borderId="19" xfId="0" applyFont="1" applyFill="1" applyBorder="1" applyAlignment="1">
      <alignment horizontal="center" vertical="top" wrapText="1"/>
    </xf>
    <xf numFmtId="0" fontId="13" fillId="7" borderId="1" xfId="0" applyFont="1" applyFill="1" applyBorder="1" applyAlignment="1">
      <alignment horizontal="left" vertical="center" wrapText="1"/>
    </xf>
    <xf numFmtId="0" fontId="13" fillId="0" borderId="1" xfId="0" applyFont="1" applyBorder="1" applyAlignment="1">
      <alignment horizontal="left" vertical="center" wrapText="1"/>
    </xf>
    <xf numFmtId="0" fontId="13" fillId="7" borderId="38" xfId="0" applyFont="1" applyFill="1" applyBorder="1" applyAlignment="1">
      <alignment horizontal="left" vertical="center" wrapText="1"/>
    </xf>
    <xf numFmtId="0" fontId="44" fillId="41" borderId="33" xfId="0" applyFont="1" applyFill="1" applyBorder="1" applyAlignment="1">
      <alignment horizontal="center" vertical="center" wrapText="1"/>
    </xf>
    <xf numFmtId="0" fontId="14" fillId="41" borderId="34" xfId="0" applyFont="1" applyFill="1" applyBorder="1" applyAlignment="1">
      <alignment horizontal="center" vertical="center" wrapText="1"/>
    </xf>
    <xf numFmtId="0" fontId="14" fillId="41" borderId="41" xfId="0" applyFont="1" applyFill="1" applyBorder="1" applyAlignment="1">
      <alignment horizontal="center" vertical="center" wrapText="1"/>
    </xf>
    <xf numFmtId="0" fontId="35" fillId="36" borderId="32" xfId="0" applyFont="1" applyFill="1" applyBorder="1" applyAlignment="1">
      <alignment horizontal="center" vertical="center" wrapText="1"/>
    </xf>
    <xf numFmtId="0" fontId="36" fillId="38" borderId="28" xfId="0" applyFont="1" applyFill="1" applyBorder="1" applyAlignment="1">
      <alignment horizontal="center" vertical="center" wrapText="1"/>
    </xf>
    <xf numFmtId="0" fontId="36" fillId="38" borderId="32" xfId="0" applyFont="1" applyFill="1" applyBorder="1" applyAlignment="1">
      <alignment horizontal="center" vertical="center" wrapText="1"/>
    </xf>
    <xf numFmtId="0" fontId="36" fillId="38" borderId="31" xfId="0" applyFont="1" applyFill="1" applyBorder="1" applyAlignment="1">
      <alignment horizontal="center" vertical="center" wrapText="1"/>
    </xf>
    <xf numFmtId="0" fontId="23" fillId="33" borderId="35" xfId="0" applyFont="1" applyFill="1" applyBorder="1" applyAlignment="1">
      <alignment horizontal="center" vertical="center" wrapText="1"/>
    </xf>
    <xf numFmtId="0" fontId="23" fillId="33" borderId="36" xfId="0" applyFont="1" applyFill="1" applyBorder="1" applyAlignment="1">
      <alignment horizontal="center" vertical="center" wrapText="1"/>
    </xf>
    <xf numFmtId="0" fontId="23" fillId="33" borderId="37" xfId="0" applyFont="1" applyFill="1" applyBorder="1" applyAlignment="1">
      <alignment horizontal="center" vertical="center" wrapText="1"/>
    </xf>
    <xf numFmtId="0" fontId="37" fillId="48" borderId="0" xfId="0" applyFont="1" applyFill="1" applyAlignment="1">
      <alignment horizontal="left" vertical="center" wrapText="1"/>
    </xf>
    <xf numFmtId="0" fontId="48" fillId="48" borderId="0" xfId="0" applyFont="1" applyFill="1" applyAlignment="1">
      <alignment horizontal="left" vertical="center" wrapText="1"/>
    </xf>
    <xf numFmtId="0" fontId="36" fillId="38" borderId="50" xfId="0" applyFont="1" applyFill="1" applyBorder="1" applyAlignment="1">
      <alignment horizontal="center" vertical="center" wrapText="1"/>
    </xf>
    <xf numFmtId="0" fontId="36" fillId="38" borderId="51" xfId="0" applyFont="1" applyFill="1" applyBorder="1" applyAlignment="1">
      <alignment horizontal="center" vertical="center" wrapText="1"/>
    </xf>
    <xf numFmtId="0" fontId="36" fillId="38" borderId="52" xfId="0" applyFont="1" applyFill="1" applyBorder="1" applyAlignment="1">
      <alignment horizontal="center" vertical="center" wrapText="1"/>
    </xf>
    <xf numFmtId="0" fontId="36" fillId="38" borderId="30" xfId="0" applyFont="1" applyFill="1" applyBorder="1" applyAlignment="1">
      <alignment horizontal="center" vertical="center" wrapText="1"/>
    </xf>
    <xf numFmtId="0" fontId="36" fillId="38" borderId="39" xfId="0" applyFont="1" applyFill="1" applyBorder="1" applyAlignment="1">
      <alignment horizontal="center" vertical="center" wrapText="1"/>
    </xf>
    <xf numFmtId="49" fontId="19" fillId="5" borderId="1" xfId="0" applyNumberFormat="1" applyFont="1" applyFill="1" applyBorder="1" applyAlignment="1">
      <alignment horizontal="center"/>
    </xf>
    <xf numFmtId="0" fontId="23" fillId="32" borderId="20" xfId="0" applyFont="1" applyFill="1" applyBorder="1" applyAlignment="1">
      <alignment horizontal="left" vertical="center" wrapText="1"/>
    </xf>
    <xf numFmtId="0" fontId="23" fillId="32" borderId="1" xfId="0" applyFont="1" applyFill="1" applyBorder="1" applyAlignment="1">
      <alignment horizontal="left" vertical="center" wrapText="1"/>
    </xf>
    <xf numFmtId="0" fontId="23" fillId="33" borderId="28" xfId="0" applyFont="1" applyFill="1" applyBorder="1" applyAlignment="1">
      <alignment horizontal="center" vertical="top" wrapText="1"/>
    </xf>
    <xf numFmtId="0" fontId="23" fillId="33" borderId="31" xfId="0" applyFont="1" applyFill="1" applyBorder="1" applyAlignment="1">
      <alignment horizontal="center" vertical="top" wrapText="1"/>
    </xf>
    <xf numFmtId="0" fontId="23" fillId="32" borderId="1" xfId="0" applyFont="1" applyFill="1" applyBorder="1" applyAlignment="1">
      <alignment horizontal="left" vertical="top" wrapText="1"/>
    </xf>
    <xf numFmtId="0" fontId="23" fillId="33" borderId="45" xfId="0" applyFont="1" applyFill="1" applyBorder="1" applyAlignment="1">
      <alignment horizontal="center" vertical="center" wrapText="1"/>
    </xf>
    <xf numFmtId="0" fontId="23" fillId="33" borderId="46" xfId="0" applyFont="1" applyFill="1" applyBorder="1" applyAlignment="1">
      <alignment horizontal="center" vertical="center" wrapText="1"/>
    </xf>
    <xf numFmtId="0" fontId="23" fillId="33" borderId="47" xfId="0" applyFont="1" applyFill="1" applyBorder="1" applyAlignment="1">
      <alignment horizontal="center" vertical="center" wrapText="1"/>
    </xf>
    <xf numFmtId="0" fontId="23" fillId="33" borderId="48" xfId="0" applyFont="1" applyFill="1" applyBorder="1" applyAlignment="1">
      <alignment horizontal="center" vertical="center" wrapText="1"/>
    </xf>
    <xf numFmtId="0" fontId="23" fillId="33" borderId="49" xfId="0" applyFont="1" applyFill="1" applyBorder="1" applyAlignment="1">
      <alignment horizontal="center" vertical="center" wrapText="1"/>
    </xf>
    <xf numFmtId="0" fontId="24" fillId="10" borderId="44" xfId="0" applyFont="1" applyFill="1" applyBorder="1" applyAlignment="1">
      <alignment horizontal="center" vertical="center"/>
    </xf>
    <xf numFmtId="0" fontId="24" fillId="10" borderId="27" xfId="0" applyFont="1" applyFill="1" applyBorder="1" applyAlignment="1">
      <alignment horizontal="center" vertical="center"/>
    </xf>
    <xf numFmtId="0" fontId="35" fillId="36" borderId="28" xfId="0" applyFont="1" applyFill="1" applyBorder="1" applyAlignment="1">
      <alignment horizontal="center" vertical="center" wrapText="1"/>
    </xf>
    <xf numFmtId="0" fontId="29" fillId="3" borderId="26" xfId="0" applyFont="1" applyFill="1" applyBorder="1" applyAlignment="1">
      <alignment horizontal="center" vertical="center"/>
    </xf>
    <xf numFmtId="0" fontId="29" fillId="3" borderId="24" xfId="0" applyFont="1" applyFill="1" applyBorder="1" applyAlignment="1">
      <alignment horizontal="center" vertical="center"/>
    </xf>
    <xf numFmtId="0" fontId="29" fillId="3" borderId="27" xfId="0" applyFont="1" applyFill="1" applyBorder="1" applyAlignment="1">
      <alignment horizontal="center" vertical="center"/>
    </xf>
    <xf numFmtId="0" fontId="19" fillId="5" borderId="1" xfId="0" applyFont="1" applyFill="1" applyBorder="1" applyAlignment="1">
      <alignment horizontal="right" vertical="center"/>
    </xf>
    <xf numFmtId="0" fontId="16" fillId="0" borderId="1" xfId="0" applyFont="1" applyBorder="1" applyAlignment="1">
      <alignment horizontal="right" vertical="center"/>
    </xf>
    <xf numFmtId="0" fontId="15" fillId="3" borderId="1" xfId="0" applyFont="1" applyFill="1" applyBorder="1" applyAlignment="1">
      <alignment horizontal="center" vertical="center"/>
    </xf>
    <xf numFmtId="0" fontId="22" fillId="0" borderId="22" xfId="0" applyFont="1" applyBorder="1" applyAlignment="1">
      <alignment horizontal="center" vertical="center"/>
    </xf>
    <xf numFmtId="0" fontId="18" fillId="4" borderId="1" xfId="0" applyFont="1" applyFill="1" applyBorder="1" applyAlignment="1">
      <alignment horizontal="right"/>
    </xf>
    <xf numFmtId="0" fontId="19" fillId="5" borderId="1" xfId="0" applyFont="1" applyFill="1" applyBorder="1" applyAlignment="1">
      <alignment horizontal="center" vertical="center"/>
    </xf>
    <xf numFmtId="49" fontId="27" fillId="0" borderId="20" xfId="0" applyNumberFormat="1" applyFont="1" applyBorder="1" applyAlignment="1">
      <alignment horizontal="center" vertical="center"/>
    </xf>
    <xf numFmtId="49" fontId="27" fillId="0" borderId="1" xfId="0" applyNumberFormat="1" applyFont="1" applyBorder="1" applyAlignment="1">
      <alignment horizontal="center" vertical="center"/>
    </xf>
    <xf numFmtId="49" fontId="27" fillId="0" borderId="21" xfId="0" applyNumberFormat="1" applyFont="1" applyBorder="1" applyAlignment="1">
      <alignment horizontal="center" vertical="center"/>
    </xf>
    <xf numFmtId="0" fontId="21" fillId="0" borderId="23" xfId="0" applyFont="1" applyBorder="1" applyAlignment="1">
      <alignment horizontal="center" vertical="center"/>
    </xf>
    <xf numFmtId="0" fontId="23" fillId="33" borderId="13" xfId="0" applyFont="1" applyFill="1" applyBorder="1" applyAlignment="1">
      <alignment horizontal="center" vertical="center" wrapText="1"/>
    </xf>
    <xf numFmtId="0" fontId="14" fillId="9" borderId="20" xfId="0" applyFont="1" applyFill="1" applyBorder="1" applyAlignment="1">
      <alignment horizontal="center" vertical="center" wrapText="1"/>
    </xf>
    <xf numFmtId="0" fontId="14" fillId="9" borderId="1" xfId="0" applyFont="1" applyFill="1" applyBorder="1" applyAlignment="1">
      <alignment horizontal="center" vertical="center" wrapText="1"/>
    </xf>
    <xf numFmtId="0" fontId="23" fillId="33" borderId="1" xfId="0" applyFont="1" applyFill="1" applyBorder="1" applyAlignment="1">
      <alignment horizontal="left" vertical="top" wrapText="1"/>
    </xf>
    <xf numFmtId="0" fontId="36" fillId="38" borderId="13" xfId="0" applyFont="1" applyFill="1" applyBorder="1" applyAlignment="1">
      <alignment horizontal="center" vertical="center" wrapText="1"/>
    </xf>
    <xf numFmtId="0" fontId="50" fillId="0" borderId="0" xfId="0" applyFont="1" applyAlignment="1">
      <alignment horizontal="center" vertical="center"/>
    </xf>
    <xf numFmtId="49" fontId="1" fillId="8" borderId="1" xfId="0" applyNumberFormat="1" applyFont="1" applyFill="1" applyBorder="1" applyAlignment="1">
      <alignment wrapText="1"/>
    </xf>
    <xf numFmtId="49" fontId="1" fillId="15" borderId="1" xfId="0" applyNumberFormat="1" applyFont="1" applyFill="1" applyBorder="1" applyAlignment="1">
      <alignment wrapText="1"/>
    </xf>
    <xf numFmtId="0" fontId="3" fillId="8" borderId="1" xfId="0" applyFont="1" applyFill="1" applyBorder="1" applyAlignment="1">
      <alignment vertical="top" wrapText="1"/>
    </xf>
    <xf numFmtId="0" fontId="7" fillId="16" borderId="2" xfId="0" applyFont="1" applyFill="1" applyBorder="1" applyAlignment="1">
      <alignment horizontal="center"/>
    </xf>
    <xf numFmtId="0" fontId="8" fillId="5" borderId="5" xfId="0" applyFont="1" applyFill="1" applyBorder="1" applyAlignment="1">
      <alignment horizontal="left" vertical="top"/>
    </xf>
    <xf numFmtId="0" fontId="8" fillId="5" borderId="10" xfId="0" applyFont="1" applyFill="1" applyBorder="1" applyAlignment="1">
      <alignment horizontal="center" vertical="top"/>
    </xf>
    <xf numFmtId="0" fontId="8" fillId="5" borderId="1" xfId="0" applyFont="1" applyFill="1" applyBorder="1" applyAlignment="1">
      <alignment horizontal="center" vertical="top"/>
    </xf>
    <xf numFmtId="0" fontId="16" fillId="0" borderId="1" xfId="0" applyFont="1" applyBorder="1" applyAlignment="1"/>
    <xf numFmtId="0" fontId="14" fillId="0" borderId="23" xfId="0" applyFont="1" applyBorder="1" applyAlignment="1"/>
    <xf numFmtId="0" fontId="14" fillId="0" borderId="22" xfId="0" applyFont="1" applyBorder="1" applyAlignment="1"/>
    <xf numFmtId="0" fontId="16" fillId="34" borderId="1" xfId="0" applyFont="1" applyFill="1" applyBorder="1" applyAlignment="1"/>
    <xf numFmtId="0" fontId="30" fillId="20" borderId="0" xfId="0" applyFont="1" applyFill="1" applyAlignment="1"/>
    <xf numFmtId="0" fontId="38" fillId="0" borderId="12" xfId="0" applyFont="1" applyBorder="1" applyAlignment="1"/>
    <xf numFmtId="0" fontId="38" fillId="0" borderId="15" xfId="0" applyFont="1" applyBorder="1" applyAlignment="1"/>
    <xf numFmtId="0" fontId="38" fillId="0" borderId="14" xfId="0" applyFont="1" applyBorder="1" applyAlignment="1"/>
    <xf numFmtId="0" fontId="2" fillId="0" borderId="1" xfId="0" applyFont="1" applyBorder="1" applyAlignment="1"/>
    <xf numFmtId="0" fontId="2" fillId="0" borderId="3" xfId="0" applyFont="1" applyBorder="1" applyAlignment="1"/>
    <xf numFmtId="0" fontId="2" fillId="0" borderId="4" xfId="0" applyFont="1" applyBorder="1" applyAlignment="1"/>
    <xf numFmtId="0" fontId="2" fillId="0" borderId="5" xfId="0" applyFont="1" applyBorder="1" applyAlignment="1"/>
    <xf numFmtId="0" fontId="2" fillId="0" borderId="6" xfId="0" applyFont="1" applyBorder="1" applyAlignment="1"/>
  </cellXfs>
  <cellStyles count="1">
    <cellStyle name="Standaard" xfId="0" builtinId="0"/>
  </cellStyles>
  <dxfs count="84">
    <dxf>
      <fill>
        <patternFill>
          <bgColor rgb="FFFF0000"/>
        </patternFill>
      </fill>
    </dxf>
    <dxf>
      <font>
        <color theme="1"/>
      </font>
    </dxf>
    <dxf>
      <font>
        <color rgb="FF006100"/>
      </font>
      <fill>
        <patternFill>
          <bgColor rgb="FFC6EFCE"/>
        </patternFill>
      </fill>
    </dxf>
    <dxf>
      <font>
        <color rgb="FFFFFFFF"/>
      </font>
      <fill>
        <patternFill patternType="solid">
          <fgColor rgb="FF000000"/>
          <bgColor rgb="FF000000"/>
        </patternFill>
      </fill>
    </dxf>
    <dxf>
      <fill>
        <patternFill patternType="solid">
          <fgColor rgb="FF63D297"/>
          <bgColor rgb="FF63D297"/>
        </patternFill>
      </fill>
    </dxf>
    <dxf>
      <font>
        <color rgb="FFFFFFFF"/>
      </font>
      <fill>
        <patternFill patternType="solid">
          <fgColor rgb="FFFF0000"/>
          <bgColor rgb="FFFF0000"/>
        </patternFill>
      </fill>
    </dxf>
    <dxf>
      <fill>
        <patternFill patternType="solid">
          <fgColor rgb="FFD9E6FC"/>
          <bgColor rgb="FFD9E6FC"/>
        </patternFill>
      </fill>
    </dxf>
    <dxf>
      <fill>
        <patternFill patternType="solid">
          <fgColor rgb="FFD9F1F3"/>
          <bgColor rgb="FFD9F1F3"/>
        </patternFill>
      </fill>
    </dxf>
    <dxf>
      <fill>
        <patternFill patternType="solid">
          <fgColor rgb="FFD2F1DA"/>
          <bgColor rgb="FFD2F1DA"/>
        </patternFill>
      </fill>
    </dxf>
    <dxf>
      <fill>
        <patternFill patternType="solid">
          <fgColor rgb="FFFEF1CC"/>
          <bgColor rgb="FFFEF1CC"/>
        </patternFill>
      </fill>
    </dxf>
    <dxf>
      <fill>
        <patternFill patternType="solid">
          <fgColor rgb="FFFAD9D6"/>
          <bgColor rgb="FFFAD9D6"/>
        </patternFill>
      </fill>
    </dxf>
    <dxf>
      <fill>
        <patternFill patternType="solid">
          <fgColor rgb="FFFEE1CC"/>
          <bgColor rgb="FFFEE1CC"/>
        </patternFill>
      </fill>
    </dxf>
    <dxf>
      <fill>
        <patternFill patternType="solid">
          <fgColor rgb="FFD9F1F3"/>
          <bgColor rgb="FFD9F1F3"/>
        </patternFill>
      </fill>
    </dxf>
    <dxf>
      <fill>
        <patternFill patternType="solid">
          <fgColor rgb="FFD2F1DA"/>
          <bgColor rgb="FFD2F1DA"/>
        </patternFill>
      </fill>
    </dxf>
    <dxf>
      <fill>
        <patternFill patternType="solid">
          <fgColor rgb="FFFEF1CC"/>
          <bgColor rgb="FFFEF1CC"/>
        </patternFill>
      </fill>
    </dxf>
    <dxf>
      <fill>
        <patternFill patternType="solid">
          <fgColor rgb="FFFEE1CC"/>
          <bgColor rgb="FFFEE1CC"/>
        </patternFill>
      </fill>
    </dxf>
    <dxf>
      <fill>
        <patternFill patternType="solid">
          <fgColor rgb="FFFAD9D6"/>
          <bgColor rgb="FFFAD9D6"/>
        </patternFill>
      </fill>
    </dxf>
    <dxf>
      <fill>
        <patternFill patternType="solid">
          <fgColor rgb="FFD9E6FC"/>
          <bgColor rgb="FFD9E6FC"/>
        </patternFill>
      </fill>
    </dxf>
    <dxf>
      <fill>
        <patternFill patternType="solid">
          <fgColor rgb="FFD9F1F3"/>
          <bgColor rgb="FFD9F1F3"/>
        </patternFill>
      </fill>
    </dxf>
    <dxf>
      <fill>
        <patternFill patternType="solid">
          <fgColor rgb="FFD2F1DA"/>
          <bgColor rgb="FFD2F1DA"/>
        </patternFill>
      </fill>
    </dxf>
    <dxf>
      <fill>
        <patternFill patternType="solid">
          <fgColor rgb="FFFEF1CC"/>
          <bgColor rgb="FFFEF1CC"/>
        </patternFill>
      </fill>
    </dxf>
    <dxf>
      <fill>
        <patternFill patternType="solid">
          <fgColor rgb="FFFAD9D6"/>
          <bgColor rgb="FFFAD9D6"/>
        </patternFill>
      </fill>
    </dxf>
    <dxf>
      <fill>
        <patternFill patternType="solid">
          <fgColor rgb="FFFEE1CC"/>
          <bgColor rgb="FFFEE1CC"/>
        </patternFill>
      </fill>
    </dxf>
    <dxf>
      <fill>
        <patternFill patternType="solid">
          <fgColor rgb="FFD9E6FC"/>
          <bgColor rgb="FFD9E6FC"/>
        </patternFill>
      </fill>
    </dxf>
    <dxf>
      <fill>
        <patternFill patternType="solid">
          <fgColor rgb="FFFEE1CC"/>
          <bgColor rgb="FFFEE1CC"/>
        </patternFill>
      </fill>
    </dxf>
    <dxf>
      <fill>
        <patternFill patternType="solid">
          <fgColor rgb="FFFAD9D6"/>
          <bgColor rgb="FFFAD9D6"/>
        </patternFill>
      </fill>
    </dxf>
    <dxf>
      <fill>
        <patternFill patternType="solid">
          <fgColor rgb="FFFEF1CC"/>
          <bgColor rgb="FFFEF1CC"/>
        </patternFill>
      </fill>
    </dxf>
    <dxf>
      <fill>
        <patternFill patternType="solid">
          <fgColor rgb="FFD2F1DA"/>
          <bgColor rgb="FFD2F1DA"/>
        </patternFill>
      </fill>
    </dxf>
    <dxf>
      <fill>
        <patternFill patternType="solid">
          <fgColor rgb="FFD9F1F3"/>
          <bgColor rgb="FFD9F1F3"/>
        </patternFill>
      </fill>
    </dxf>
    <dxf>
      <fill>
        <patternFill patternType="solid">
          <fgColor rgb="FFD9E6FC"/>
          <bgColor rgb="FFD9E6FC"/>
        </patternFill>
      </fill>
    </dxf>
    <dxf>
      <fill>
        <patternFill patternType="solid">
          <fgColor rgb="FFFEE1CC"/>
          <bgColor rgb="FFFEE1CC"/>
        </patternFill>
      </fill>
    </dxf>
    <dxf>
      <fill>
        <patternFill patternType="solid">
          <fgColor rgb="FFFAD9D6"/>
          <bgColor rgb="FFFAD9D6"/>
        </patternFill>
      </fill>
    </dxf>
    <dxf>
      <fill>
        <patternFill patternType="solid">
          <fgColor rgb="FFFEF1CC"/>
          <bgColor rgb="FFFEF1CC"/>
        </patternFill>
      </fill>
    </dxf>
    <dxf>
      <fill>
        <patternFill patternType="solid">
          <fgColor rgb="FFD2F1DA"/>
          <bgColor rgb="FFD2F1DA"/>
        </patternFill>
      </fill>
    </dxf>
    <dxf>
      <fill>
        <patternFill patternType="solid">
          <fgColor rgb="FFD9F1F3"/>
          <bgColor rgb="FFD9F1F3"/>
        </patternFill>
      </fill>
    </dxf>
    <dxf>
      <fill>
        <patternFill patternType="solid">
          <fgColor rgb="FFD9E6FC"/>
          <bgColor rgb="FFD9E6FC"/>
        </patternFill>
      </fill>
    </dxf>
    <dxf>
      <fill>
        <patternFill patternType="solid">
          <fgColor rgb="FFD9E6FC"/>
          <bgColor rgb="FFD9E6FC"/>
        </patternFill>
      </fill>
    </dxf>
    <dxf>
      <fill>
        <patternFill patternType="solid">
          <fgColor rgb="FFD9F1F3"/>
          <bgColor rgb="FFD9F1F3"/>
        </patternFill>
      </fill>
    </dxf>
    <dxf>
      <fill>
        <patternFill patternType="solid">
          <fgColor rgb="FFD2F1DA"/>
          <bgColor rgb="FFD2F1DA"/>
        </patternFill>
      </fill>
    </dxf>
    <dxf>
      <fill>
        <patternFill patternType="solid">
          <fgColor rgb="FFFEF1CC"/>
          <bgColor rgb="FFFEF1CC"/>
        </patternFill>
      </fill>
    </dxf>
    <dxf>
      <fill>
        <patternFill patternType="solid">
          <fgColor rgb="FFFAD9D6"/>
          <bgColor rgb="FFFAD9D6"/>
        </patternFill>
      </fill>
    </dxf>
    <dxf>
      <fill>
        <patternFill patternType="solid">
          <fgColor rgb="FFFEE1CC"/>
          <bgColor rgb="FFFEE1CC"/>
        </patternFill>
      </fill>
    </dxf>
    <dxf>
      <fill>
        <patternFill>
          <bgColor rgb="FFFF0000"/>
        </patternFill>
      </fill>
    </dxf>
    <dxf>
      <font>
        <color theme="1"/>
      </font>
    </dxf>
    <dxf>
      <font>
        <color rgb="FF006100"/>
      </font>
      <fill>
        <patternFill>
          <bgColor rgb="FFC6EFCE"/>
        </patternFill>
      </fill>
    </dxf>
    <dxf>
      <font>
        <color rgb="FFFFFFFF"/>
      </font>
      <fill>
        <patternFill patternType="solid">
          <fgColor rgb="FF000000"/>
          <bgColor rgb="FF000000"/>
        </patternFill>
      </fill>
    </dxf>
    <dxf>
      <fill>
        <patternFill patternType="solid">
          <fgColor rgb="FF63D297"/>
          <bgColor rgb="FF63D297"/>
        </patternFill>
      </fill>
    </dxf>
    <dxf>
      <font>
        <color rgb="FFFFFFFF"/>
      </font>
      <fill>
        <patternFill patternType="solid">
          <fgColor rgb="FFFF0000"/>
          <bgColor rgb="FFFF0000"/>
        </patternFill>
      </fill>
    </dxf>
    <dxf>
      <fill>
        <patternFill patternType="solid">
          <fgColor rgb="FFD9E6FC"/>
          <bgColor rgb="FFD9E6FC"/>
        </patternFill>
      </fill>
    </dxf>
    <dxf>
      <fill>
        <patternFill patternType="solid">
          <fgColor rgb="FFD9F1F3"/>
          <bgColor rgb="FFD9F1F3"/>
        </patternFill>
      </fill>
    </dxf>
    <dxf>
      <fill>
        <patternFill patternType="solid">
          <fgColor rgb="FFD2F1DA"/>
          <bgColor rgb="FFD2F1DA"/>
        </patternFill>
      </fill>
    </dxf>
    <dxf>
      <fill>
        <patternFill patternType="solid">
          <fgColor rgb="FFFEF1CC"/>
          <bgColor rgb="FFFEF1CC"/>
        </patternFill>
      </fill>
    </dxf>
    <dxf>
      <fill>
        <patternFill patternType="solid">
          <fgColor rgb="FFFAD9D6"/>
          <bgColor rgb="FFFAD9D6"/>
        </patternFill>
      </fill>
    </dxf>
    <dxf>
      <fill>
        <patternFill patternType="solid">
          <fgColor rgb="FFFEE1CC"/>
          <bgColor rgb="FFFEE1CC"/>
        </patternFill>
      </fill>
    </dxf>
    <dxf>
      <fill>
        <patternFill patternType="solid">
          <fgColor rgb="FFD9F1F3"/>
          <bgColor rgb="FFD9F1F3"/>
        </patternFill>
      </fill>
    </dxf>
    <dxf>
      <fill>
        <patternFill patternType="solid">
          <fgColor rgb="FFD2F1DA"/>
          <bgColor rgb="FFD2F1DA"/>
        </patternFill>
      </fill>
    </dxf>
    <dxf>
      <fill>
        <patternFill patternType="solid">
          <fgColor rgb="FFFEF1CC"/>
          <bgColor rgb="FFFEF1CC"/>
        </patternFill>
      </fill>
    </dxf>
    <dxf>
      <fill>
        <patternFill patternType="solid">
          <fgColor rgb="FFFEE1CC"/>
          <bgColor rgb="FFFEE1CC"/>
        </patternFill>
      </fill>
    </dxf>
    <dxf>
      <fill>
        <patternFill patternType="solid">
          <fgColor rgb="FFFAD9D6"/>
          <bgColor rgb="FFFAD9D6"/>
        </patternFill>
      </fill>
    </dxf>
    <dxf>
      <fill>
        <patternFill patternType="solid">
          <fgColor rgb="FFD9E6FC"/>
          <bgColor rgb="FFD9E6FC"/>
        </patternFill>
      </fill>
    </dxf>
    <dxf>
      <fill>
        <patternFill patternType="solid">
          <fgColor rgb="FFD9F1F3"/>
          <bgColor rgb="FFD9F1F3"/>
        </patternFill>
      </fill>
    </dxf>
    <dxf>
      <fill>
        <patternFill patternType="solid">
          <fgColor rgb="FFD2F1DA"/>
          <bgColor rgb="FFD2F1DA"/>
        </patternFill>
      </fill>
    </dxf>
    <dxf>
      <fill>
        <patternFill patternType="solid">
          <fgColor rgb="FFFEF1CC"/>
          <bgColor rgb="FFFEF1CC"/>
        </patternFill>
      </fill>
    </dxf>
    <dxf>
      <fill>
        <patternFill patternType="solid">
          <fgColor rgb="FFFAD9D6"/>
          <bgColor rgb="FFFAD9D6"/>
        </patternFill>
      </fill>
    </dxf>
    <dxf>
      <fill>
        <patternFill patternType="solid">
          <fgColor rgb="FFFEE1CC"/>
          <bgColor rgb="FFFEE1CC"/>
        </patternFill>
      </fill>
    </dxf>
    <dxf>
      <fill>
        <patternFill patternType="solid">
          <fgColor rgb="FFD9E6FC"/>
          <bgColor rgb="FFD9E6FC"/>
        </patternFill>
      </fill>
    </dxf>
    <dxf>
      <fill>
        <patternFill patternType="solid">
          <fgColor rgb="FFFEE1CC"/>
          <bgColor rgb="FFFEE1CC"/>
        </patternFill>
      </fill>
    </dxf>
    <dxf>
      <fill>
        <patternFill patternType="solid">
          <fgColor rgb="FFFAD9D6"/>
          <bgColor rgb="FFFAD9D6"/>
        </patternFill>
      </fill>
    </dxf>
    <dxf>
      <fill>
        <patternFill patternType="solid">
          <fgColor rgb="FFFEF1CC"/>
          <bgColor rgb="FFFEF1CC"/>
        </patternFill>
      </fill>
    </dxf>
    <dxf>
      <fill>
        <patternFill patternType="solid">
          <fgColor rgb="FFD2F1DA"/>
          <bgColor rgb="FFD2F1DA"/>
        </patternFill>
      </fill>
    </dxf>
    <dxf>
      <fill>
        <patternFill patternType="solid">
          <fgColor rgb="FFD9F1F3"/>
          <bgColor rgb="FFD9F1F3"/>
        </patternFill>
      </fill>
    </dxf>
    <dxf>
      <fill>
        <patternFill patternType="solid">
          <fgColor rgb="FFD9E6FC"/>
          <bgColor rgb="FFD9E6FC"/>
        </patternFill>
      </fill>
    </dxf>
    <dxf>
      <fill>
        <patternFill patternType="solid">
          <fgColor rgb="FFFEE1CC"/>
          <bgColor rgb="FFFEE1CC"/>
        </patternFill>
      </fill>
    </dxf>
    <dxf>
      <fill>
        <patternFill patternType="solid">
          <fgColor rgb="FFFAD9D6"/>
          <bgColor rgb="FFFAD9D6"/>
        </patternFill>
      </fill>
    </dxf>
    <dxf>
      <fill>
        <patternFill patternType="solid">
          <fgColor rgb="FFFEF1CC"/>
          <bgColor rgb="FFFEF1CC"/>
        </patternFill>
      </fill>
    </dxf>
    <dxf>
      <fill>
        <patternFill patternType="solid">
          <fgColor rgb="FFD2F1DA"/>
          <bgColor rgb="FFD2F1DA"/>
        </patternFill>
      </fill>
    </dxf>
    <dxf>
      <fill>
        <patternFill patternType="solid">
          <fgColor rgb="FFD9F1F3"/>
          <bgColor rgb="FFD9F1F3"/>
        </patternFill>
      </fill>
    </dxf>
    <dxf>
      <fill>
        <patternFill patternType="solid">
          <fgColor rgb="FFD9E6FC"/>
          <bgColor rgb="FFD9E6FC"/>
        </patternFill>
      </fill>
    </dxf>
    <dxf>
      <fill>
        <patternFill patternType="solid">
          <fgColor rgb="FFD9E6FC"/>
          <bgColor rgb="FFD9E6FC"/>
        </patternFill>
      </fill>
    </dxf>
    <dxf>
      <fill>
        <patternFill patternType="solid">
          <fgColor rgb="FFD9F1F3"/>
          <bgColor rgb="FFD9F1F3"/>
        </patternFill>
      </fill>
    </dxf>
    <dxf>
      <fill>
        <patternFill patternType="solid">
          <fgColor rgb="FFD2F1DA"/>
          <bgColor rgb="FFD2F1DA"/>
        </patternFill>
      </fill>
    </dxf>
    <dxf>
      <fill>
        <patternFill patternType="solid">
          <fgColor rgb="FFFEF1CC"/>
          <bgColor rgb="FFFEF1CC"/>
        </patternFill>
      </fill>
    </dxf>
    <dxf>
      <fill>
        <patternFill patternType="solid">
          <fgColor rgb="FFFAD9D6"/>
          <bgColor rgb="FFFAD9D6"/>
        </patternFill>
      </fill>
    </dxf>
    <dxf>
      <fill>
        <patternFill patternType="solid">
          <fgColor rgb="FFFEE1CC"/>
          <bgColor rgb="FFFEE1CC"/>
        </patternFill>
      </fill>
    </dxf>
  </dxfs>
  <tableStyles count="0" defaultTableStyle="TableStyleMedium2" defaultPivotStyle="PivotStyleLight16"/>
  <colors>
    <mruColors>
      <color rgb="FFFFE1CD"/>
      <color rgb="FFF7C7AC"/>
      <color rgb="FFFFF2CD"/>
      <color rgb="FFEA7131"/>
      <color rgb="FFB7E2CD"/>
      <color rgb="FFD0D0D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customschemas.google.com/relationships/workbookmetadata" Target="metadata"/><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6BB6A-770F-4155-8660-32558FAD673D}">
  <sheetPr>
    <outlinePr summaryBelow="0" summaryRight="0"/>
    <pageSetUpPr fitToPage="1"/>
  </sheetPr>
  <dimension ref="A1:Y1019"/>
  <sheetViews>
    <sheetView showGridLines="0" showRowColHeaders="0" tabSelected="1" topLeftCell="C1" zoomScale="113" zoomScaleNormal="128" workbookViewId="0">
      <pane ySplit="7" topLeftCell="A8" activePane="bottomLeft" state="frozen"/>
      <selection pane="bottomLeft" activeCell="D13" sqref="D13:K13"/>
    </sheetView>
  </sheetViews>
  <sheetFormatPr defaultColWidth="12.42578125" defaultRowHeight="15" customHeight="1"/>
  <cols>
    <col min="1" max="2" width="9.140625" style="45" customWidth="1"/>
    <col min="3" max="3" width="17.42578125" style="45" customWidth="1"/>
    <col min="4" max="4" width="27" style="45" customWidth="1"/>
    <col min="5" max="5" width="22.7109375" style="45" customWidth="1"/>
    <col min="6" max="6" width="37.85546875" style="45" customWidth="1"/>
    <col min="7" max="7" width="29.28515625" style="45" customWidth="1"/>
    <col min="8" max="8" width="29.7109375" style="45" customWidth="1"/>
    <col min="9" max="9" width="33.140625" style="45" customWidth="1"/>
    <col min="10" max="11" width="36.7109375" style="45" customWidth="1"/>
    <col min="12" max="12" width="17.140625" style="45" customWidth="1"/>
    <col min="13" max="13" width="6.7109375" style="45" customWidth="1"/>
    <col min="14" max="14" width="17.140625" style="45" customWidth="1"/>
    <col min="15" max="15" width="6.7109375" style="45" customWidth="1"/>
    <col min="16" max="25" width="14.42578125" style="45" customWidth="1"/>
    <col min="26" max="16384" width="12.42578125" style="45"/>
  </cols>
  <sheetData>
    <row r="1" spans="1:25" ht="20.100000000000001" customHeight="1">
      <c r="A1" s="80"/>
      <c r="B1" s="80"/>
      <c r="C1" s="80"/>
      <c r="D1" s="80"/>
      <c r="E1" s="80"/>
      <c r="F1" s="80"/>
      <c r="G1" s="80"/>
      <c r="H1" s="80"/>
      <c r="I1" s="80"/>
      <c r="J1" s="80"/>
      <c r="K1" s="80"/>
      <c r="L1" s="80"/>
      <c r="M1" s="80"/>
      <c r="N1" s="80"/>
      <c r="O1" s="80"/>
    </row>
    <row r="2" spans="1:25" ht="20.100000000000001" customHeight="1">
      <c r="A2" s="80"/>
      <c r="B2" s="47"/>
      <c r="C2" s="249"/>
      <c r="D2" s="268"/>
      <c r="E2" s="62" t="s">
        <v>0</v>
      </c>
      <c r="F2" s="250" t="s">
        <v>1</v>
      </c>
      <c r="G2" s="250"/>
      <c r="H2" s="250"/>
      <c r="I2" s="250"/>
      <c r="J2" s="250"/>
      <c r="K2" s="250"/>
      <c r="L2" s="66" t="s">
        <v>2</v>
      </c>
      <c r="M2" s="66"/>
      <c r="N2" s="63" t="s">
        <v>3</v>
      </c>
      <c r="O2" s="80"/>
      <c r="P2" s="48"/>
      <c r="Q2" s="48"/>
      <c r="R2" s="48"/>
      <c r="S2" s="48"/>
      <c r="T2" s="48"/>
      <c r="U2" s="48"/>
      <c r="V2" s="48"/>
      <c r="W2" s="48"/>
      <c r="X2" s="48"/>
      <c r="Y2" s="48"/>
    </row>
    <row r="3" spans="1:25" ht="20.100000000000001" customHeight="1">
      <c r="A3" s="80"/>
      <c r="B3" s="49"/>
      <c r="C3" s="245" t="s">
        <v>4</v>
      </c>
      <c r="D3" s="246"/>
      <c r="E3" s="61" t="s">
        <v>5</v>
      </c>
      <c r="F3" s="251" t="s">
        <v>6</v>
      </c>
      <c r="G3" s="252"/>
      <c r="H3" s="252"/>
      <c r="I3" s="252"/>
      <c r="J3" s="252"/>
      <c r="K3" s="253"/>
      <c r="L3" s="254">
        <v>0</v>
      </c>
      <c r="M3" s="248"/>
      <c r="N3" s="242" t="str">
        <f>IF(L3&gt;=5.5,"PASS",IF(L3&gt;0,"FAIL","M/O"))</f>
        <v>M/O</v>
      </c>
      <c r="O3" s="80"/>
    </row>
    <row r="4" spans="1:25" ht="20.100000000000001" customHeight="1">
      <c r="A4" s="80"/>
      <c r="B4" s="49"/>
      <c r="C4" s="245" t="s">
        <v>7</v>
      </c>
      <c r="D4" s="246"/>
      <c r="E4" s="61" t="s">
        <v>8</v>
      </c>
      <c r="F4" s="251"/>
      <c r="G4" s="252"/>
      <c r="H4" s="252"/>
      <c r="I4" s="252"/>
      <c r="J4" s="252"/>
      <c r="K4" s="253"/>
      <c r="L4" s="269"/>
      <c r="M4" s="270"/>
      <c r="N4" s="243"/>
      <c r="O4" s="80"/>
    </row>
    <row r="5" spans="1:25" ht="20.100000000000001" customHeight="1">
      <c r="A5" s="80"/>
      <c r="B5" s="49"/>
      <c r="C5" s="245" t="s">
        <v>9</v>
      </c>
      <c r="D5" s="246"/>
      <c r="E5" s="60" t="s">
        <v>10</v>
      </c>
      <c r="F5" s="251"/>
      <c r="G5" s="252"/>
      <c r="H5" s="252"/>
      <c r="I5" s="252"/>
      <c r="J5" s="252"/>
      <c r="K5" s="253"/>
      <c r="L5" s="269"/>
      <c r="M5" s="270"/>
      <c r="N5" s="243"/>
      <c r="O5" s="80"/>
    </row>
    <row r="6" spans="1:25" ht="20.100000000000001" customHeight="1">
      <c r="A6" s="80"/>
      <c r="B6" s="49"/>
      <c r="C6" s="245" t="s">
        <v>11</v>
      </c>
      <c r="D6" s="246"/>
      <c r="E6" s="60" t="s">
        <v>12</v>
      </c>
      <c r="F6" s="251"/>
      <c r="G6" s="252"/>
      <c r="H6" s="252"/>
      <c r="I6" s="252"/>
      <c r="J6" s="252"/>
      <c r="K6" s="253"/>
      <c r="L6" s="269"/>
      <c r="M6" s="270"/>
      <c r="N6" s="243"/>
      <c r="O6" s="80"/>
    </row>
    <row r="7" spans="1:25" ht="20.100000000000001" customHeight="1">
      <c r="A7" s="80"/>
      <c r="B7" s="49"/>
      <c r="C7" s="245" t="s">
        <v>13</v>
      </c>
      <c r="D7" s="246"/>
      <c r="E7" s="60"/>
      <c r="F7" s="251"/>
      <c r="G7" s="252"/>
      <c r="H7" s="252"/>
      <c r="I7" s="252"/>
      <c r="J7" s="252"/>
      <c r="K7" s="253"/>
      <c r="L7" s="269"/>
      <c r="M7" s="270"/>
      <c r="N7" s="244"/>
      <c r="O7" s="80"/>
    </row>
    <row r="8" spans="1:25" ht="20.100000000000001" customHeight="1">
      <c r="A8" s="80"/>
      <c r="B8" s="46"/>
      <c r="C8" s="46"/>
      <c r="D8" s="46"/>
      <c r="E8" s="46"/>
      <c r="F8" s="46"/>
      <c r="G8" s="46"/>
      <c r="H8" s="46"/>
      <c r="I8" s="46"/>
      <c r="J8" s="46"/>
      <c r="K8" s="46"/>
      <c r="L8" s="46"/>
      <c r="M8" s="46"/>
      <c r="N8" s="46"/>
      <c r="O8" s="80"/>
    </row>
    <row r="9" spans="1:25" ht="15.75" customHeight="1">
      <c r="A9" s="80"/>
      <c r="B9" s="80"/>
      <c r="C9" s="80"/>
      <c r="D9" s="80"/>
      <c r="E9" s="80"/>
      <c r="F9" s="80"/>
      <c r="G9" s="80"/>
      <c r="H9" s="80"/>
      <c r="I9" s="80"/>
      <c r="J9" s="80"/>
      <c r="K9" s="80"/>
      <c r="L9" s="80"/>
      <c r="M9" s="80"/>
      <c r="N9" s="80"/>
      <c r="O9" s="80"/>
    </row>
    <row r="10" spans="1:25" ht="24.95" customHeight="1">
      <c r="A10" s="80"/>
      <c r="B10" s="46"/>
      <c r="C10" s="247" t="s">
        <v>14</v>
      </c>
      <c r="D10" s="247"/>
      <c r="E10" s="247"/>
      <c r="F10" s="247"/>
      <c r="G10" s="247"/>
      <c r="H10" s="247"/>
      <c r="I10" s="247"/>
      <c r="J10" s="247"/>
      <c r="K10" s="247"/>
      <c r="L10" s="247"/>
      <c r="M10" s="247"/>
      <c r="N10" s="46"/>
      <c r="O10" s="80"/>
    </row>
    <row r="11" spans="1:25" ht="15.75" customHeight="1">
      <c r="A11" s="80"/>
      <c r="B11" s="46"/>
      <c r="C11" s="50"/>
      <c r="D11" s="51" t="s">
        <v>15</v>
      </c>
      <c r="E11" s="52"/>
      <c r="F11" s="50" t="s">
        <v>16</v>
      </c>
      <c r="G11" s="228" t="s">
        <v>17</v>
      </c>
      <c r="H11" s="228"/>
      <c r="I11" s="228"/>
      <c r="J11" s="228"/>
      <c r="K11" s="228"/>
      <c r="L11" s="50" t="s">
        <v>18</v>
      </c>
      <c r="M11" s="50" t="s">
        <v>19</v>
      </c>
      <c r="N11" s="50" t="s">
        <v>20</v>
      </c>
      <c r="O11" s="80"/>
    </row>
    <row r="12" spans="1:25" ht="15.75" customHeight="1">
      <c r="A12" s="80"/>
      <c r="B12" s="46"/>
      <c r="C12" s="50"/>
      <c r="D12" s="51"/>
      <c r="E12" s="52"/>
      <c r="F12" s="50"/>
      <c r="G12" s="50"/>
      <c r="H12" s="50"/>
      <c r="I12" s="50"/>
      <c r="J12" s="50"/>
      <c r="K12" s="50"/>
      <c r="L12" s="50"/>
      <c r="M12" s="50"/>
      <c r="N12" s="50"/>
      <c r="O12" s="80"/>
    </row>
    <row r="13" spans="1:25" ht="48" customHeight="1">
      <c r="A13" s="80"/>
      <c r="B13" s="46"/>
      <c r="C13" s="118" t="s">
        <v>21</v>
      </c>
      <c r="D13" s="229" t="s">
        <v>22</v>
      </c>
      <c r="E13" s="230"/>
      <c r="F13" s="230"/>
      <c r="G13" s="230"/>
      <c r="H13" s="230"/>
      <c r="I13" s="230"/>
      <c r="J13" s="230"/>
      <c r="K13" s="230"/>
      <c r="L13" s="53"/>
      <c r="M13" s="53"/>
      <c r="N13" s="54"/>
      <c r="O13" s="80"/>
    </row>
    <row r="14" spans="1:25" ht="20.100000000000001" customHeight="1">
      <c r="A14" s="80"/>
      <c r="B14" s="46"/>
      <c r="C14" s="118"/>
      <c r="D14" s="231"/>
      <c r="E14" s="232"/>
      <c r="F14" s="139" t="s">
        <v>23</v>
      </c>
      <c r="G14" s="143" t="s">
        <v>24</v>
      </c>
      <c r="H14" s="143" t="s">
        <v>25</v>
      </c>
      <c r="I14" s="143" t="s">
        <v>26</v>
      </c>
      <c r="J14" s="143" t="s">
        <v>27</v>
      </c>
      <c r="K14" s="143" t="s">
        <v>28</v>
      </c>
      <c r="L14" s="167"/>
      <c r="M14" s="121"/>
      <c r="N14" s="122"/>
      <c r="O14" s="80"/>
    </row>
    <row r="15" spans="1:25" ht="141.75" customHeight="1">
      <c r="A15" s="80"/>
      <c r="B15" s="46"/>
      <c r="C15" s="113"/>
      <c r="D15" s="210" t="s">
        <v>29</v>
      </c>
      <c r="E15" s="203"/>
      <c r="F15" s="160" t="s">
        <v>30</v>
      </c>
      <c r="G15" s="170" t="s">
        <v>31</v>
      </c>
      <c r="H15" s="170" t="s">
        <v>32</v>
      </c>
      <c r="I15" s="170" t="s">
        <v>33</v>
      </c>
      <c r="J15" s="170" t="s">
        <v>34</v>
      </c>
      <c r="K15" s="170" t="s">
        <v>35</v>
      </c>
      <c r="L15" s="162">
        <v>0</v>
      </c>
      <c r="M15" s="239" t="s">
        <v>36</v>
      </c>
      <c r="N15" s="126">
        <v>15</v>
      </c>
      <c r="O15" s="80"/>
    </row>
    <row r="16" spans="1:25" ht="24.95" customHeight="1">
      <c r="A16" s="80"/>
      <c r="B16" s="46"/>
      <c r="C16" s="112"/>
      <c r="D16" s="241" t="s">
        <v>37</v>
      </c>
      <c r="E16" s="204"/>
      <c r="F16" s="140" t="s">
        <v>38</v>
      </c>
      <c r="G16" s="144">
        <v>0</v>
      </c>
      <c r="H16" s="144">
        <v>0</v>
      </c>
      <c r="I16" s="144">
        <v>0</v>
      </c>
      <c r="J16" s="144">
        <v>0</v>
      </c>
      <c r="K16" s="144">
        <v>0</v>
      </c>
      <c r="L16" s="168"/>
      <c r="M16" s="240"/>
      <c r="N16" s="127"/>
      <c r="O16" s="80"/>
    </row>
    <row r="17" spans="1:25" ht="48" customHeight="1">
      <c r="A17" s="80"/>
      <c r="B17" s="46"/>
      <c r="C17" s="118" t="s">
        <v>39</v>
      </c>
      <c r="D17" s="196" t="s">
        <v>40</v>
      </c>
      <c r="E17" s="196"/>
      <c r="F17" s="196"/>
      <c r="G17" s="196"/>
      <c r="H17" s="196"/>
      <c r="I17" s="196"/>
      <c r="J17" s="196"/>
      <c r="K17" s="196"/>
      <c r="L17" s="77"/>
      <c r="M17" s="78"/>
      <c r="N17" s="79"/>
      <c r="O17" s="80"/>
    </row>
    <row r="18" spans="1:25" ht="20.100000000000001" customHeight="1">
      <c r="A18" s="80"/>
      <c r="B18" s="46"/>
      <c r="C18" s="118"/>
      <c r="D18" s="231"/>
      <c r="E18" s="232"/>
      <c r="F18" s="139" t="s">
        <v>23</v>
      </c>
      <c r="G18" s="143" t="s">
        <v>41</v>
      </c>
      <c r="H18" s="143" t="s">
        <v>42</v>
      </c>
      <c r="I18" s="143" t="s">
        <v>43</v>
      </c>
      <c r="J18" s="143" t="s">
        <v>44</v>
      </c>
      <c r="K18" s="143" t="s">
        <v>45</v>
      </c>
      <c r="L18" s="161"/>
      <c r="M18" s="124"/>
      <c r="N18" s="125"/>
      <c r="O18" s="80"/>
    </row>
    <row r="19" spans="1:25" ht="141.75" customHeight="1">
      <c r="A19" s="80"/>
      <c r="B19" s="46"/>
      <c r="C19" s="113"/>
      <c r="D19" s="210" t="s">
        <v>46</v>
      </c>
      <c r="E19" s="203"/>
      <c r="F19" s="135" t="s">
        <v>47</v>
      </c>
      <c r="G19" s="175" t="s">
        <v>48</v>
      </c>
      <c r="H19" s="164" t="s">
        <v>49</v>
      </c>
      <c r="I19" s="141" t="s">
        <v>50</v>
      </c>
      <c r="J19" s="141" t="s">
        <v>51</v>
      </c>
      <c r="K19" s="179" t="s">
        <v>52</v>
      </c>
      <c r="L19" s="162">
        <f>IF(F20="Yes",SUM(G20:K20)*2,0)</f>
        <v>0</v>
      </c>
      <c r="M19" s="124" t="s">
        <v>36</v>
      </c>
      <c r="N19" s="125">
        <v>10</v>
      </c>
      <c r="O19" s="80"/>
    </row>
    <row r="20" spans="1:25" ht="24.95" customHeight="1">
      <c r="A20" s="80"/>
      <c r="B20" s="46"/>
      <c r="C20" s="112"/>
      <c r="D20" s="204" t="s">
        <v>37</v>
      </c>
      <c r="E20" s="205"/>
      <c r="F20" s="140" t="s">
        <v>38</v>
      </c>
      <c r="G20" s="144">
        <v>0</v>
      </c>
      <c r="H20" s="144">
        <v>0</v>
      </c>
      <c r="I20" s="163">
        <v>0</v>
      </c>
      <c r="J20" s="144">
        <v>0</v>
      </c>
      <c r="K20" s="144">
        <v>0</v>
      </c>
      <c r="L20" s="77"/>
      <c r="M20" s="78"/>
      <c r="N20" s="79"/>
      <c r="O20" s="80"/>
      <c r="Q20"/>
      <c r="R20"/>
      <c r="S20"/>
      <c r="T20"/>
      <c r="U20"/>
      <c r="V20"/>
      <c r="W20"/>
      <c r="X20"/>
      <c r="Y20"/>
    </row>
    <row r="21" spans="1:25" ht="48" customHeight="1">
      <c r="A21" s="80"/>
      <c r="B21" s="46"/>
      <c r="C21" s="118" t="s">
        <v>53</v>
      </c>
      <c r="D21" s="233" t="s">
        <v>54</v>
      </c>
      <c r="E21" s="271"/>
      <c r="F21" s="271"/>
      <c r="G21" s="271"/>
      <c r="H21" s="271"/>
      <c r="I21" s="271"/>
      <c r="J21" s="271"/>
      <c r="K21" s="271"/>
      <c r="L21" s="123"/>
      <c r="M21" s="124"/>
      <c r="N21" s="125"/>
      <c r="O21" s="80"/>
      <c r="Q21"/>
      <c r="R21"/>
      <c r="S21"/>
      <c r="T21"/>
      <c r="U21"/>
      <c r="V21"/>
      <c r="W21"/>
      <c r="X21"/>
      <c r="Y21"/>
    </row>
    <row r="22" spans="1:25" ht="24.95" customHeight="1">
      <c r="A22" s="80"/>
      <c r="B22" s="46"/>
      <c r="C22" s="118"/>
      <c r="D22" s="207"/>
      <c r="E22" s="207"/>
      <c r="F22" s="139" t="s">
        <v>23</v>
      </c>
      <c r="G22" s="234" t="s">
        <v>55</v>
      </c>
      <c r="H22" s="235"/>
      <c r="I22" s="236"/>
      <c r="J22" s="237" t="s">
        <v>56</v>
      </c>
      <c r="K22" s="238"/>
      <c r="L22" s="123"/>
      <c r="M22" s="124"/>
      <c r="N22" s="125"/>
      <c r="O22" s="80"/>
      <c r="Q22"/>
      <c r="R22"/>
      <c r="S22"/>
      <c r="T22"/>
      <c r="U22"/>
      <c r="V22"/>
      <c r="W22"/>
      <c r="X22"/>
      <c r="Y22"/>
    </row>
    <row r="23" spans="1:25" ht="141.75" customHeight="1">
      <c r="A23" s="80"/>
      <c r="B23" s="46"/>
      <c r="C23" s="112"/>
      <c r="D23" s="210" t="s">
        <v>57</v>
      </c>
      <c r="E23" s="203"/>
      <c r="F23" s="135" t="s">
        <v>47</v>
      </c>
      <c r="G23" s="188" t="s">
        <v>58</v>
      </c>
      <c r="H23" s="189"/>
      <c r="I23" s="190"/>
      <c r="J23" s="188" t="s">
        <v>59</v>
      </c>
      <c r="K23" s="189"/>
      <c r="L23" s="123">
        <f>IF(F24="Yes",SUM(G24:K24),0)</f>
        <v>0</v>
      </c>
      <c r="M23" s="124" t="s">
        <v>36</v>
      </c>
      <c r="N23" s="125">
        <v>10</v>
      </c>
      <c r="O23" s="80"/>
      <c r="Q23"/>
      <c r="R23"/>
      <c r="S23"/>
      <c r="T23"/>
      <c r="U23"/>
      <c r="V23"/>
      <c r="W23"/>
      <c r="X23"/>
      <c r="Y23"/>
    </row>
    <row r="24" spans="1:25" ht="24.95" customHeight="1">
      <c r="A24" s="80"/>
      <c r="B24" s="46"/>
      <c r="C24" s="112"/>
      <c r="D24" s="204" t="s">
        <v>37</v>
      </c>
      <c r="E24" s="205"/>
      <c r="F24" s="140" t="s">
        <v>38</v>
      </c>
      <c r="G24" s="223">
        <v>0</v>
      </c>
      <c r="H24" s="224"/>
      <c r="I24" s="225"/>
      <c r="J24" s="226">
        <v>0</v>
      </c>
      <c r="K24" s="227"/>
      <c r="L24" s="123"/>
      <c r="M24" s="124"/>
      <c r="N24" s="125"/>
      <c r="O24" s="80"/>
      <c r="Q24"/>
      <c r="R24"/>
      <c r="S24"/>
      <c r="T24"/>
      <c r="U24"/>
      <c r="V24"/>
      <c r="W24"/>
      <c r="X24"/>
      <c r="Y24"/>
    </row>
    <row r="25" spans="1:25" ht="46.5" customHeight="1">
      <c r="A25" s="80"/>
      <c r="B25" s="46"/>
      <c r="C25" s="118" t="s">
        <v>60</v>
      </c>
      <c r="D25" s="221" t="s">
        <v>61</v>
      </c>
      <c r="E25" s="222"/>
      <c r="F25" s="222"/>
      <c r="G25" s="222"/>
      <c r="H25" s="222"/>
      <c r="I25" s="222"/>
      <c r="J25" s="222"/>
      <c r="K25" s="222"/>
      <c r="L25" s="222"/>
      <c r="M25" s="222"/>
      <c r="N25" s="68"/>
      <c r="O25" s="80"/>
      <c r="Q25"/>
      <c r="R25"/>
      <c r="S25"/>
      <c r="T25"/>
      <c r="U25"/>
      <c r="V25"/>
      <c r="W25"/>
      <c r="X25"/>
      <c r="Y25"/>
    </row>
    <row r="26" spans="1:25" ht="20.100000000000001" customHeight="1">
      <c r="A26" s="80"/>
      <c r="B26" s="46"/>
      <c r="C26" s="118"/>
      <c r="D26" s="207"/>
      <c r="E26" s="207"/>
      <c r="F26" s="120" t="s">
        <v>23</v>
      </c>
      <c r="G26" s="218" t="s">
        <v>55</v>
      </c>
      <c r="H26" s="219"/>
      <c r="I26" s="220"/>
      <c r="J26" s="218" t="s">
        <v>56</v>
      </c>
      <c r="K26" s="220"/>
      <c r="L26" s="73"/>
      <c r="M26" s="76"/>
      <c r="N26" s="71"/>
      <c r="O26" s="80"/>
      <c r="Q26"/>
      <c r="R26"/>
      <c r="S26"/>
      <c r="T26"/>
      <c r="U26"/>
      <c r="V26"/>
      <c r="W26"/>
      <c r="X26"/>
      <c r="Y26"/>
    </row>
    <row r="27" spans="1:25" ht="133.5" customHeight="1">
      <c r="A27" s="80"/>
      <c r="B27" s="46"/>
      <c r="C27" s="112"/>
      <c r="D27" s="210" t="s">
        <v>62</v>
      </c>
      <c r="E27" s="203"/>
      <c r="F27" s="160" t="s">
        <v>30</v>
      </c>
      <c r="G27" s="211" t="s">
        <v>63</v>
      </c>
      <c r="H27" s="212"/>
      <c r="I27" s="213"/>
      <c r="J27" s="211" t="s">
        <v>64</v>
      </c>
      <c r="K27" s="212"/>
      <c r="L27" s="123">
        <f>IF(F28="Yes",SUM(G28:K28),0)</f>
        <v>0</v>
      </c>
      <c r="M27" s="128" t="s">
        <v>36</v>
      </c>
      <c r="N27" s="122">
        <v>10</v>
      </c>
      <c r="O27" s="80"/>
      <c r="Q27"/>
      <c r="R27"/>
      <c r="S27"/>
      <c r="T27"/>
      <c r="U27"/>
      <c r="V27"/>
      <c r="W27"/>
      <c r="X27"/>
      <c r="Y27"/>
    </row>
    <row r="28" spans="1:25" ht="24.95" customHeight="1">
      <c r="A28" s="80"/>
      <c r="B28" s="46"/>
      <c r="C28" s="112"/>
      <c r="D28" s="214" t="s">
        <v>37</v>
      </c>
      <c r="E28" s="204"/>
      <c r="F28" s="132" t="s">
        <v>38</v>
      </c>
      <c r="G28" s="215">
        <v>0</v>
      </c>
      <c r="H28" s="216"/>
      <c r="I28" s="217"/>
      <c r="J28" s="215">
        <v>0</v>
      </c>
      <c r="K28" s="217"/>
      <c r="L28" s="129"/>
      <c r="M28" s="130"/>
      <c r="N28" s="131"/>
      <c r="O28" s="80"/>
      <c r="Q28"/>
      <c r="R28"/>
      <c r="S28"/>
      <c r="T28"/>
      <c r="U28"/>
      <c r="V28"/>
      <c r="W28"/>
      <c r="X28"/>
      <c r="Y28"/>
    </row>
    <row r="29" spans="1:25" ht="48" customHeight="1">
      <c r="A29" s="80"/>
      <c r="B29" s="46"/>
      <c r="C29" s="118" t="s">
        <v>65</v>
      </c>
      <c r="D29" s="196" t="s">
        <v>66</v>
      </c>
      <c r="E29" s="271"/>
      <c r="F29" s="271"/>
      <c r="G29" s="271"/>
      <c r="H29" s="271"/>
      <c r="I29" s="271"/>
      <c r="J29" s="271"/>
      <c r="K29" s="271"/>
      <c r="L29" s="74"/>
      <c r="M29" s="69"/>
      <c r="N29" s="72"/>
      <c r="O29" s="80"/>
      <c r="Q29"/>
      <c r="R29"/>
      <c r="S29"/>
      <c r="T29"/>
      <c r="U29"/>
      <c r="V29"/>
      <c r="W29"/>
      <c r="X29"/>
      <c r="Y29"/>
    </row>
    <row r="30" spans="1:25" ht="20.100000000000001" customHeight="1">
      <c r="A30" s="80"/>
      <c r="B30" s="46"/>
      <c r="C30" s="118"/>
      <c r="D30" s="207"/>
      <c r="E30" s="207"/>
      <c r="F30" s="120" t="s">
        <v>23</v>
      </c>
      <c r="G30" s="120" t="s">
        <v>67</v>
      </c>
      <c r="H30" s="120" t="s">
        <v>68</v>
      </c>
      <c r="I30" s="120" t="s">
        <v>69</v>
      </c>
      <c r="J30" s="120" t="s">
        <v>70</v>
      </c>
      <c r="K30" s="120" t="s">
        <v>71</v>
      </c>
      <c r="L30" s="73"/>
      <c r="M30" s="76"/>
      <c r="N30" s="71"/>
      <c r="O30" s="80"/>
      <c r="Q30"/>
      <c r="R30"/>
      <c r="S30"/>
      <c r="T30"/>
      <c r="U30"/>
      <c r="V30"/>
      <c r="W30"/>
      <c r="X30"/>
      <c r="Y30"/>
    </row>
    <row r="31" spans="1:25" ht="131.25" customHeight="1">
      <c r="A31" s="80"/>
      <c r="B31" s="46"/>
      <c r="C31" s="112"/>
      <c r="D31" s="208" t="s">
        <v>72</v>
      </c>
      <c r="E31" s="209"/>
      <c r="F31" s="135" t="s">
        <v>73</v>
      </c>
      <c r="G31" s="136" t="s">
        <v>74</v>
      </c>
      <c r="H31" s="136" t="s">
        <v>75</v>
      </c>
      <c r="I31" s="137" t="s">
        <v>76</v>
      </c>
      <c r="J31" s="136" t="s">
        <v>77</v>
      </c>
      <c r="K31" s="138" t="s">
        <v>78</v>
      </c>
      <c r="L31" s="123">
        <f>IF(F32="Yes",SUM(G32:K32),0)</f>
        <v>0</v>
      </c>
      <c r="M31" s="128" t="s">
        <v>36</v>
      </c>
      <c r="N31" s="122">
        <v>20</v>
      </c>
      <c r="O31" s="80"/>
      <c r="Q31"/>
      <c r="R31"/>
      <c r="S31"/>
      <c r="T31"/>
      <c r="U31"/>
      <c r="V31"/>
      <c r="W31"/>
      <c r="X31"/>
      <c r="Y31"/>
    </row>
    <row r="32" spans="1:25" ht="24.95" customHeight="1">
      <c r="A32" s="80"/>
      <c r="B32" s="46"/>
      <c r="C32" s="112"/>
      <c r="D32" s="204" t="s">
        <v>37</v>
      </c>
      <c r="E32" s="205"/>
      <c r="F32" s="132" t="s">
        <v>38</v>
      </c>
      <c r="G32" s="134">
        <v>0</v>
      </c>
      <c r="H32" s="134">
        <v>0</v>
      </c>
      <c r="I32" s="134">
        <v>0</v>
      </c>
      <c r="J32" s="134">
        <v>0</v>
      </c>
      <c r="K32" s="133">
        <v>0</v>
      </c>
      <c r="L32" s="123"/>
      <c r="M32" s="128"/>
      <c r="N32" s="122"/>
      <c r="O32" s="80"/>
      <c r="Q32"/>
      <c r="R32"/>
      <c r="S32"/>
      <c r="T32"/>
      <c r="U32"/>
      <c r="V32"/>
      <c r="W32"/>
      <c r="X32"/>
      <c r="Y32"/>
    </row>
    <row r="33" spans="1:25" ht="48" customHeight="1">
      <c r="A33" s="80"/>
      <c r="B33" s="46"/>
      <c r="C33" s="118" t="s">
        <v>65</v>
      </c>
      <c r="D33" s="196" t="s">
        <v>66</v>
      </c>
      <c r="E33" s="271"/>
      <c r="F33" s="271"/>
      <c r="G33" s="271"/>
      <c r="H33" s="271"/>
      <c r="I33" s="271"/>
      <c r="J33" s="271"/>
      <c r="K33" s="271"/>
      <c r="L33" s="74"/>
      <c r="M33" s="69"/>
      <c r="N33" s="72"/>
      <c r="O33" s="80"/>
      <c r="Q33"/>
      <c r="R33"/>
      <c r="S33"/>
      <c r="T33"/>
      <c r="U33"/>
      <c r="V33"/>
      <c r="W33"/>
      <c r="X33"/>
      <c r="Y33"/>
    </row>
    <row r="34" spans="1:25" ht="20.100000000000001" customHeight="1">
      <c r="A34" s="80"/>
      <c r="B34" s="46"/>
      <c r="C34" s="118"/>
      <c r="D34" s="207"/>
      <c r="E34" s="207"/>
      <c r="F34" s="120" t="s">
        <v>23</v>
      </c>
      <c r="G34" s="120" t="s">
        <v>67</v>
      </c>
      <c r="H34" s="120" t="s">
        <v>68</v>
      </c>
      <c r="I34" s="120" t="s">
        <v>69</v>
      </c>
      <c r="J34" s="120" t="s">
        <v>70</v>
      </c>
      <c r="K34" s="120" t="s">
        <v>71</v>
      </c>
      <c r="L34" s="67"/>
      <c r="M34" s="69"/>
      <c r="N34" s="68"/>
      <c r="O34" s="80"/>
      <c r="Q34"/>
      <c r="R34"/>
      <c r="S34"/>
      <c r="T34"/>
      <c r="U34"/>
      <c r="V34"/>
      <c r="W34"/>
      <c r="X34"/>
      <c r="Y34"/>
    </row>
    <row r="35" spans="1:25" ht="162.75" customHeight="1">
      <c r="A35" s="80"/>
      <c r="B35" s="55"/>
      <c r="C35" s="112"/>
      <c r="D35" s="202" t="s">
        <v>79</v>
      </c>
      <c r="E35" s="203"/>
      <c r="F35" s="160" t="s">
        <v>80</v>
      </c>
      <c r="G35" s="164" t="s">
        <v>81</v>
      </c>
      <c r="H35" s="164" t="s">
        <v>82</v>
      </c>
      <c r="I35" s="164" t="s">
        <v>83</v>
      </c>
      <c r="J35" s="164" t="s">
        <v>84</v>
      </c>
      <c r="K35" s="164" t="s">
        <v>85</v>
      </c>
      <c r="L35" s="67">
        <f>IF(F36="Yes",SUM(G36:K36),0)</f>
        <v>0</v>
      </c>
      <c r="M35" s="75" t="s">
        <v>36</v>
      </c>
      <c r="N35" s="68">
        <v>20</v>
      </c>
      <c r="O35" s="80"/>
      <c r="P35" s="56"/>
      <c r="Q35"/>
      <c r="R35"/>
      <c r="S35"/>
      <c r="T35"/>
      <c r="U35"/>
      <c r="V35"/>
      <c r="W35"/>
      <c r="X35"/>
      <c r="Y35"/>
    </row>
    <row r="36" spans="1:25" ht="24.95" customHeight="1">
      <c r="A36" s="80"/>
      <c r="B36" s="55"/>
      <c r="C36" s="112"/>
      <c r="D36" s="204" t="s">
        <v>37</v>
      </c>
      <c r="E36" s="205"/>
      <c r="F36" s="132" t="s">
        <v>38</v>
      </c>
      <c r="G36" s="134">
        <v>0</v>
      </c>
      <c r="H36" s="134">
        <v>0</v>
      </c>
      <c r="I36" s="134">
        <v>0</v>
      </c>
      <c r="J36" s="134">
        <v>0</v>
      </c>
      <c r="K36" s="133">
        <v>0</v>
      </c>
      <c r="L36" s="67"/>
      <c r="M36" s="69"/>
      <c r="N36" s="68"/>
      <c r="O36" s="80"/>
      <c r="P36" s="56"/>
      <c r="Q36"/>
      <c r="R36"/>
      <c r="S36"/>
      <c r="T36"/>
      <c r="U36"/>
      <c r="V36"/>
      <c r="W36"/>
      <c r="X36"/>
      <c r="Y36"/>
    </row>
    <row r="37" spans="1:25" ht="48" customHeight="1">
      <c r="A37" s="80"/>
      <c r="B37" s="55"/>
      <c r="C37" s="118" t="s">
        <v>86</v>
      </c>
      <c r="D37" s="206" t="s">
        <v>87</v>
      </c>
      <c r="E37" s="271"/>
      <c r="F37" s="271"/>
      <c r="G37" s="271"/>
      <c r="H37" s="271"/>
      <c r="I37" s="271"/>
      <c r="J37" s="271"/>
      <c r="K37" s="271"/>
      <c r="L37" s="67"/>
      <c r="M37" s="69"/>
      <c r="N37" s="68"/>
      <c r="O37" s="80"/>
      <c r="P37" s="56"/>
      <c r="Q37"/>
      <c r="R37"/>
      <c r="S37"/>
      <c r="T37"/>
      <c r="U37"/>
      <c r="V37"/>
      <c r="W37"/>
      <c r="X37"/>
      <c r="Y37"/>
    </row>
    <row r="38" spans="1:25" ht="24.95" customHeight="1">
      <c r="A38" s="80"/>
      <c r="B38" s="55"/>
      <c r="C38" s="118"/>
      <c r="D38" s="207"/>
      <c r="E38" s="207"/>
      <c r="F38" s="120" t="s">
        <v>23</v>
      </c>
      <c r="G38" s="120" t="s">
        <v>24</v>
      </c>
      <c r="H38" s="120" t="s">
        <v>25</v>
      </c>
      <c r="I38" s="120" t="s">
        <v>26</v>
      </c>
      <c r="J38" s="120" t="s">
        <v>27</v>
      </c>
      <c r="K38" s="120" t="s">
        <v>28</v>
      </c>
      <c r="L38" s="67"/>
      <c r="M38" s="69"/>
      <c r="N38" s="68"/>
      <c r="O38" s="80"/>
      <c r="P38" s="56"/>
      <c r="Q38" s="176"/>
      <c r="R38"/>
      <c r="S38" s="176"/>
      <c r="T38"/>
      <c r="U38" s="176"/>
      <c r="V38"/>
      <c r="W38"/>
      <c r="X38"/>
      <c r="Y38"/>
    </row>
    <row r="39" spans="1:25" ht="132.75" customHeight="1">
      <c r="A39" s="80"/>
      <c r="B39" s="57"/>
      <c r="C39" s="112"/>
      <c r="D39" s="208" t="s">
        <v>88</v>
      </c>
      <c r="E39" s="208"/>
      <c r="F39" s="135" t="s">
        <v>89</v>
      </c>
      <c r="G39" s="137" t="s">
        <v>90</v>
      </c>
      <c r="H39" s="165" t="s">
        <v>91</v>
      </c>
      <c r="I39" s="165" t="s">
        <v>92</v>
      </c>
      <c r="J39" s="165" t="s">
        <v>93</v>
      </c>
      <c r="K39" s="138" t="s">
        <v>94</v>
      </c>
      <c r="L39" s="67">
        <f>IF(F40="Yes",SUM(G40:K40),0)</f>
        <v>0</v>
      </c>
      <c r="M39" s="70" t="s">
        <v>36</v>
      </c>
      <c r="N39" s="68">
        <v>15</v>
      </c>
      <c r="O39" s="80"/>
      <c r="P39" s="177"/>
      <c r="Q39" s="169"/>
      <c r="R39" s="176"/>
      <c r="S39" s="178"/>
      <c r="T39" s="176"/>
      <c r="U39" s="178"/>
      <c r="V39" s="176"/>
      <c r="W39"/>
      <c r="X39"/>
      <c r="Y39"/>
    </row>
    <row r="40" spans="1:25" ht="24.95" customHeight="1">
      <c r="A40" s="80"/>
      <c r="B40" s="57"/>
      <c r="C40" s="112"/>
      <c r="D40" s="204" t="s">
        <v>37</v>
      </c>
      <c r="E40" s="205"/>
      <c r="F40" s="132" t="s">
        <v>38</v>
      </c>
      <c r="G40" s="134">
        <v>0</v>
      </c>
      <c r="H40" s="134">
        <v>0</v>
      </c>
      <c r="I40" s="134">
        <v>0</v>
      </c>
      <c r="J40" s="134">
        <v>0</v>
      </c>
      <c r="K40" s="133">
        <v>0</v>
      </c>
      <c r="L40" s="67"/>
      <c r="M40" s="70"/>
      <c r="N40" s="68"/>
      <c r="O40" s="80"/>
      <c r="P40" s="58"/>
      <c r="Q40" s="176"/>
      <c r="R40"/>
      <c r="S40" s="176"/>
      <c r="T40"/>
      <c r="U40" s="176"/>
      <c r="V40"/>
      <c r="W40"/>
      <c r="X40"/>
      <c r="Y40"/>
    </row>
    <row r="41" spans="1:25" ht="24.95" customHeight="1">
      <c r="A41" s="80"/>
      <c r="B41" s="59"/>
      <c r="D41" s="64"/>
      <c r="E41" s="64"/>
      <c r="F41" s="65"/>
      <c r="G41" s="65"/>
      <c r="H41" s="65"/>
      <c r="I41" s="65"/>
      <c r="J41" s="65"/>
      <c r="K41" s="192" t="s">
        <v>95</v>
      </c>
      <c r="L41" s="193">
        <f>SUM(L15:L40)</f>
        <v>0</v>
      </c>
      <c r="M41" s="194" t="s">
        <v>36</v>
      </c>
      <c r="N41" s="200">
        <f>SUM(N15:N40)</f>
        <v>100</v>
      </c>
      <c r="O41" s="80"/>
      <c r="Q41"/>
      <c r="R41"/>
      <c r="S41"/>
      <c r="T41"/>
      <c r="U41"/>
      <c r="V41"/>
      <c r="W41"/>
      <c r="X41"/>
      <c r="Y41"/>
    </row>
    <row r="42" spans="1:25" ht="24.95" customHeight="1">
      <c r="A42" s="80"/>
      <c r="B42" s="59"/>
      <c r="D42" s="64"/>
      <c r="E42" s="64"/>
      <c r="F42" s="65"/>
      <c r="G42" s="65"/>
      <c r="H42" s="65"/>
      <c r="I42" s="65"/>
      <c r="J42" s="65"/>
      <c r="K42" s="192"/>
      <c r="L42" s="193"/>
      <c r="M42" s="195"/>
      <c r="N42" s="200"/>
      <c r="O42" s="80"/>
      <c r="Q42"/>
      <c r="R42"/>
      <c r="S42"/>
      <c r="T42"/>
      <c r="U42"/>
      <c r="V42"/>
      <c r="W42"/>
      <c r="X42"/>
      <c r="Y42"/>
    </row>
    <row r="43" spans="1:25" ht="15.75" customHeight="1">
      <c r="A43" s="80"/>
      <c r="B43" s="80"/>
      <c r="C43" s="80"/>
      <c r="D43" s="80"/>
      <c r="E43" s="80"/>
      <c r="F43" s="80"/>
      <c r="G43" s="80"/>
      <c r="H43" s="80"/>
      <c r="I43" s="80"/>
      <c r="J43" s="80"/>
      <c r="K43" s="80"/>
      <c r="L43" s="80"/>
      <c r="M43" s="80"/>
      <c r="N43" s="80"/>
      <c r="O43" s="80"/>
    </row>
    <row r="44" spans="1:25" ht="30.75" customHeight="1">
      <c r="A44" s="80"/>
      <c r="B44" s="114"/>
      <c r="C44" s="272" t="s">
        <v>96</v>
      </c>
      <c r="D44" s="272"/>
      <c r="E44" s="272"/>
      <c r="F44" s="81"/>
      <c r="G44" s="81"/>
      <c r="H44" s="81"/>
      <c r="I44" s="81"/>
      <c r="J44" s="81"/>
      <c r="K44" s="81"/>
      <c r="L44" s="81"/>
      <c r="M44" s="82"/>
      <c r="N44" s="83"/>
      <c r="O44" s="80"/>
    </row>
    <row r="45" spans="1:25" ht="15.75" customHeight="1">
      <c r="A45" s="80"/>
      <c r="B45" s="104"/>
      <c r="C45" s="84" t="s">
        <v>97</v>
      </c>
      <c r="D45" s="84" t="s">
        <v>98</v>
      </c>
      <c r="E45" s="201" t="s">
        <v>99</v>
      </c>
      <c r="F45" s="201"/>
      <c r="G45" s="201"/>
      <c r="H45" s="201"/>
      <c r="I45" s="201"/>
      <c r="J45" s="85"/>
      <c r="K45" s="84"/>
      <c r="L45" s="84"/>
      <c r="M45" s="86" t="s">
        <v>100</v>
      </c>
      <c r="N45" s="83"/>
      <c r="O45" s="80"/>
    </row>
    <row r="46" spans="1:25" ht="39.75" customHeight="1">
      <c r="A46" s="80"/>
      <c r="B46" s="114"/>
      <c r="C46" s="87" t="s">
        <v>101</v>
      </c>
      <c r="D46" s="88" t="s">
        <v>102</v>
      </c>
      <c r="E46" s="197" t="s">
        <v>103</v>
      </c>
      <c r="F46" s="197"/>
      <c r="G46" s="197"/>
      <c r="H46" s="197"/>
      <c r="I46" s="197"/>
      <c r="J46" s="197"/>
      <c r="K46" s="197"/>
      <c r="L46" s="88"/>
      <c r="M46" s="89">
        <v>3</v>
      </c>
      <c r="N46" s="83"/>
      <c r="O46" s="80"/>
    </row>
    <row r="47" spans="1:25" ht="39.75" customHeight="1">
      <c r="A47" s="80"/>
      <c r="B47" s="104"/>
      <c r="C47" s="90" t="s">
        <v>101</v>
      </c>
      <c r="D47" s="88" t="s">
        <v>104</v>
      </c>
      <c r="E47" s="197" t="s">
        <v>105</v>
      </c>
      <c r="F47" s="197"/>
      <c r="G47" s="197"/>
      <c r="H47" s="197"/>
      <c r="I47" s="197"/>
      <c r="J47" s="197"/>
      <c r="K47" s="197"/>
      <c r="L47" s="88"/>
      <c r="M47" s="91">
        <v>3</v>
      </c>
      <c r="N47" s="83"/>
      <c r="O47" s="80"/>
    </row>
    <row r="48" spans="1:25" ht="39.75" customHeight="1">
      <c r="A48" s="80"/>
      <c r="B48" s="114"/>
      <c r="C48" s="87" t="s">
        <v>101</v>
      </c>
      <c r="D48" s="88" t="s">
        <v>106</v>
      </c>
      <c r="E48" s="197" t="s">
        <v>107</v>
      </c>
      <c r="F48" s="197"/>
      <c r="G48" s="197"/>
      <c r="H48" s="197"/>
      <c r="I48" s="197"/>
      <c r="J48" s="197"/>
      <c r="K48" s="197"/>
      <c r="L48" s="88"/>
      <c r="M48" s="89">
        <v>3</v>
      </c>
      <c r="N48" s="83"/>
      <c r="O48" s="80"/>
    </row>
    <row r="49" spans="1:15" ht="39.75" customHeight="1">
      <c r="A49" s="80"/>
      <c r="B49" s="104"/>
      <c r="C49" s="92" t="s">
        <v>108</v>
      </c>
      <c r="D49" s="93" t="s">
        <v>109</v>
      </c>
      <c r="E49" s="191" t="s">
        <v>110</v>
      </c>
      <c r="F49" s="191"/>
      <c r="G49" s="191"/>
      <c r="H49" s="191"/>
      <c r="I49" s="191"/>
      <c r="J49" s="191"/>
      <c r="K49" s="191"/>
      <c r="L49" s="93"/>
      <c r="M49" s="94">
        <v>3</v>
      </c>
      <c r="N49" s="83"/>
      <c r="O49" s="80"/>
    </row>
    <row r="50" spans="1:15" ht="39.75" customHeight="1">
      <c r="A50" s="80"/>
      <c r="B50" s="114"/>
      <c r="C50" s="95" t="s">
        <v>108</v>
      </c>
      <c r="D50" s="96" t="s">
        <v>111</v>
      </c>
      <c r="E50" s="198" t="s">
        <v>112</v>
      </c>
      <c r="F50" s="198"/>
      <c r="G50" s="198"/>
      <c r="H50" s="198"/>
      <c r="I50" s="198"/>
      <c r="J50" s="198"/>
      <c r="K50" s="198"/>
      <c r="L50" s="96"/>
      <c r="M50" s="97">
        <v>3</v>
      </c>
      <c r="N50" s="83"/>
      <c r="O50" s="80"/>
    </row>
    <row r="51" spans="1:15" ht="39.75" customHeight="1">
      <c r="A51" s="80"/>
      <c r="B51" s="115"/>
      <c r="C51" s="98" t="s">
        <v>113</v>
      </c>
      <c r="D51" s="93" t="s">
        <v>114</v>
      </c>
      <c r="E51" s="191" t="s">
        <v>115</v>
      </c>
      <c r="F51" s="191"/>
      <c r="G51" s="191"/>
      <c r="H51" s="191"/>
      <c r="I51" s="191"/>
      <c r="J51" s="191"/>
      <c r="K51" s="191"/>
      <c r="L51" s="93"/>
      <c r="M51" s="99">
        <v>3</v>
      </c>
      <c r="N51" s="100"/>
      <c r="O51" s="80"/>
    </row>
    <row r="52" spans="1:15" ht="39.75" customHeight="1">
      <c r="A52" s="80"/>
      <c r="B52" s="104"/>
      <c r="C52" s="101" t="s">
        <v>116</v>
      </c>
      <c r="D52" s="96" t="s">
        <v>117</v>
      </c>
      <c r="E52" s="198" t="s">
        <v>118</v>
      </c>
      <c r="F52" s="198"/>
      <c r="G52" s="198"/>
      <c r="H52" s="198"/>
      <c r="I52" s="198"/>
      <c r="J52" s="198"/>
      <c r="K52" s="198"/>
      <c r="L52" s="96"/>
      <c r="M52" s="102">
        <v>3</v>
      </c>
      <c r="N52" s="83"/>
      <c r="O52" s="80"/>
    </row>
    <row r="53" spans="1:15" ht="39.75" customHeight="1">
      <c r="A53" s="80"/>
      <c r="B53" s="104"/>
      <c r="C53" s="92" t="s">
        <v>119</v>
      </c>
      <c r="D53" s="93" t="s">
        <v>119</v>
      </c>
      <c r="E53" s="191" t="s">
        <v>120</v>
      </c>
      <c r="F53" s="191"/>
      <c r="G53" s="191"/>
      <c r="H53" s="191"/>
      <c r="I53" s="191"/>
      <c r="J53" s="191"/>
      <c r="K53" s="191"/>
      <c r="L53" s="93"/>
      <c r="M53" s="94">
        <v>3</v>
      </c>
      <c r="N53" s="83"/>
      <c r="O53" s="80"/>
    </row>
    <row r="54" spans="1:15" ht="39.75" customHeight="1">
      <c r="A54" s="80"/>
      <c r="B54" s="104"/>
      <c r="C54" s="95" t="s">
        <v>119</v>
      </c>
      <c r="D54" s="96" t="s">
        <v>121</v>
      </c>
      <c r="E54" s="198" t="s">
        <v>122</v>
      </c>
      <c r="F54" s="198"/>
      <c r="G54" s="198"/>
      <c r="H54" s="198"/>
      <c r="I54" s="198"/>
      <c r="J54" s="198"/>
      <c r="K54" s="198"/>
      <c r="L54" s="96"/>
      <c r="M54" s="97">
        <v>3</v>
      </c>
      <c r="N54" s="83"/>
      <c r="O54" s="80"/>
    </row>
    <row r="55" spans="1:15" ht="39.75" customHeight="1">
      <c r="A55" s="80"/>
      <c r="B55" s="116"/>
      <c r="C55" s="98" t="s">
        <v>123</v>
      </c>
      <c r="D55" s="93" t="s">
        <v>124</v>
      </c>
      <c r="E55" s="191" t="s">
        <v>125</v>
      </c>
      <c r="F55" s="191"/>
      <c r="G55" s="191"/>
      <c r="H55" s="191"/>
      <c r="I55" s="191"/>
      <c r="J55" s="191"/>
      <c r="K55" s="191"/>
      <c r="L55" s="93"/>
      <c r="M55" s="99">
        <v>3</v>
      </c>
      <c r="N55" s="103"/>
      <c r="O55" s="80"/>
    </row>
    <row r="56" spans="1:15" ht="39.75" customHeight="1">
      <c r="A56" s="80"/>
      <c r="B56" s="114"/>
      <c r="C56" s="101" t="s">
        <v>123</v>
      </c>
      <c r="D56" s="96" t="s">
        <v>126</v>
      </c>
      <c r="E56" s="198" t="s">
        <v>127</v>
      </c>
      <c r="F56" s="198"/>
      <c r="G56" s="198"/>
      <c r="H56" s="198"/>
      <c r="I56" s="198"/>
      <c r="J56" s="198"/>
      <c r="K56" s="198"/>
      <c r="L56" s="96"/>
      <c r="M56" s="102">
        <v>3</v>
      </c>
      <c r="N56" s="83"/>
      <c r="O56" s="80"/>
    </row>
    <row r="57" spans="1:15" ht="15.75" customHeight="1">
      <c r="A57" s="80"/>
      <c r="B57" s="104"/>
      <c r="C57" s="104"/>
      <c r="D57" s="81"/>
      <c r="E57" s="81"/>
      <c r="F57" s="81"/>
      <c r="G57" s="81"/>
      <c r="H57" s="81"/>
      <c r="I57" s="81"/>
      <c r="J57" s="81"/>
      <c r="K57" s="81"/>
      <c r="L57" s="81"/>
      <c r="M57" s="81"/>
      <c r="N57" s="81"/>
      <c r="O57" s="80"/>
    </row>
    <row r="58" spans="1:15" ht="15.75" customHeight="1">
      <c r="A58" s="80"/>
      <c r="B58" s="80"/>
      <c r="C58" s="80"/>
      <c r="D58" s="80"/>
      <c r="E58" s="80"/>
      <c r="F58" s="80"/>
      <c r="G58" s="80"/>
      <c r="H58" s="80"/>
      <c r="I58" s="80"/>
      <c r="J58" s="80"/>
      <c r="K58" s="80"/>
      <c r="L58" s="80"/>
      <c r="M58" s="80"/>
      <c r="N58" s="80"/>
      <c r="O58" s="80"/>
    </row>
    <row r="59" spans="1:15" ht="24" customHeight="1">
      <c r="A59" s="80"/>
      <c r="B59" s="117" t="s">
        <v>128</v>
      </c>
      <c r="C59" s="272" t="s">
        <v>129</v>
      </c>
      <c r="D59" s="272"/>
      <c r="E59" s="272"/>
      <c r="F59" s="105" t="s">
        <v>128</v>
      </c>
      <c r="G59" s="104" t="s">
        <v>128</v>
      </c>
      <c r="H59" s="104" t="s">
        <v>128</v>
      </c>
      <c r="I59" s="104" t="s">
        <v>128</v>
      </c>
      <c r="J59" s="104" t="s">
        <v>128</v>
      </c>
      <c r="K59" s="104" t="s">
        <v>128</v>
      </c>
      <c r="L59" s="104"/>
      <c r="M59" s="104" t="s">
        <v>128</v>
      </c>
      <c r="N59" s="104" t="s">
        <v>128</v>
      </c>
      <c r="O59" s="80"/>
    </row>
    <row r="60" spans="1:15" ht="15.75" customHeight="1">
      <c r="A60" s="80"/>
      <c r="B60" s="117" t="s">
        <v>128</v>
      </c>
      <c r="C60" s="106" t="s">
        <v>130</v>
      </c>
      <c r="D60" s="106" t="s">
        <v>131</v>
      </c>
      <c r="E60" s="199" t="s">
        <v>132</v>
      </c>
      <c r="F60" s="199"/>
      <c r="G60" s="199"/>
      <c r="H60" s="199"/>
      <c r="I60" s="107" t="s">
        <v>133</v>
      </c>
      <c r="J60" s="106"/>
      <c r="K60" s="106"/>
      <c r="L60" s="106"/>
      <c r="M60" s="106"/>
      <c r="N60" s="104" t="s">
        <v>128</v>
      </c>
      <c r="O60" s="80"/>
    </row>
    <row r="61" spans="1:15" ht="48.75" customHeight="1">
      <c r="A61" s="80"/>
      <c r="B61" s="104" t="s">
        <v>128</v>
      </c>
      <c r="C61" s="108">
        <v>1</v>
      </c>
      <c r="D61" s="109" t="s">
        <v>134</v>
      </c>
      <c r="E61" s="186" t="s">
        <v>135</v>
      </c>
      <c r="F61" s="186"/>
      <c r="G61" s="186"/>
      <c r="H61" s="186"/>
      <c r="I61" s="187" t="s">
        <v>136</v>
      </c>
      <c r="J61" s="187"/>
      <c r="K61" s="187"/>
      <c r="L61" s="187"/>
      <c r="M61" s="187"/>
      <c r="N61" s="104" t="s">
        <v>128</v>
      </c>
      <c r="O61" s="80"/>
    </row>
    <row r="62" spans="1:15" ht="47.25" customHeight="1">
      <c r="A62" s="80"/>
      <c r="B62" s="104" t="s">
        <v>128</v>
      </c>
      <c r="C62" s="110">
        <v>2</v>
      </c>
      <c r="D62" s="111" t="s">
        <v>137</v>
      </c>
      <c r="E62" s="184" t="s">
        <v>138</v>
      </c>
      <c r="F62" s="184"/>
      <c r="G62" s="184"/>
      <c r="H62" s="184"/>
      <c r="I62" s="185" t="s">
        <v>139</v>
      </c>
      <c r="J62" s="185"/>
      <c r="K62" s="185"/>
      <c r="L62" s="185"/>
      <c r="M62" s="185"/>
      <c r="N62" s="104" t="s">
        <v>128</v>
      </c>
      <c r="O62" s="80"/>
    </row>
    <row r="63" spans="1:15" ht="42" customHeight="1">
      <c r="A63" s="80"/>
      <c r="B63" s="104" t="s">
        <v>128</v>
      </c>
      <c r="C63" s="108">
        <v>3</v>
      </c>
      <c r="D63" s="109" t="s">
        <v>140</v>
      </c>
      <c r="E63" s="186" t="s">
        <v>141</v>
      </c>
      <c r="F63" s="186"/>
      <c r="G63" s="186"/>
      <c r="H63" s="186"/>
      <c r="I63" s="187" t="s">
        <v>142</v>
      </c>
      <c r="J63" s="187"/>
      <c r="K63" s="187"/>
      <c r="L63" s="187"/>
      <c r="M63" s="187"/>
      <c r="N63" s="104" t="s">
        <v>128</v>
      </c>
      <c r="O63" s="80"/>
    </row>
    <row r="64" spans="1:15" ht="42" customHeight="1">
      <c r="A64" s="80"/>
      <c r="B64" s="104" t="s">
        <v>128</v>
      </c>
      <c r="C64" s="110">
        <v>4</v>
      </c>
      <c r="D64" s="111" t="s">
        <v>143</v>
      </c>
      <c r="E64" s="184" t="s">
        <v>144</v>
      </c>
      <c r="F64" s="184"/>
      <c r="G64" s="184"/>
      <c r="H64" s="184"/>
      <c r="I64" s="185" t="s">
        <v>145</v>
      </c>
      <c r="J64" s="185"/>
      <c r="K64" s="185"/>
      <c r="L64" s="185"/>
      <c r="M64" s="185"/>
      <c r="N64" s="104" t="s">
        <v>128</v>
      </c>
      <c r="O64" s="80"/>
    </row>
    <row r="65" spans="1:15" ht="36" customHeight="1">
      <c r="A65" s="80"/>
      <c r="B65" s="104" t="s">
        <v>128</v>
      </c>
      <c r="C65" s="108">
        <v>5</v>
      </c>
      <c r="D65" s="109" t="s">
        <v>146</v>
      </c>
      <c r="E65" s="186" t="s">
        <v>147</v>
      </c>
      <c r="F65" s="186"/>
      <c r="G65" s="186"/>
      <c r="H65" s="186"/>
      <c r="I65" s="187" t="s">
        <v>148</v>
      </c>
      <c r="J65" s="187"/>
      <c r="K65" s="187"/>
      <c r="L65" s="187"/>
      <c r="M65" s="187"/>
      <c r="N65" s="104" t="s">
        <v>128</v>
      </c>
      <c r="O65" s="80"/>
    </row>
    <row r="66" spans="1:15" ht="15.75" customHeight="1">
      <c r="A66" s="80"/>
      <c r="B66" s="104" t="s">
        <v>128</v>
      </c>
      <c r="C66" s="104" t="s">
        <v>128</v>
      </c>
      <c r="D66" s="104" t="s">
        <v>128</v>
      </c>
      <c r="E66" s="104" t="s">
        <v>128</v>
      </c>
      <c r="F66" s="104" t="s">
        <v>128</v>
      </c>
      <c r="G66" s="104" t="s">
        <v>128</v>
      </c>
      <c r="H66" s="104" t="s">
        <v>128</v>
      </c>
      <c r="I66" s="104" t="s">
        <v>128</v>
      </c>
      <c r="J66" s="104" t="s">
        <v>128</v>
      </c>
      <c r="K66" s="104" t="s">
        <v>128</v>
      </c>
      <c r="L66" s="104"/>
      <c r="M66" s="104" t="s">
        <v>128</v>
      </c>
      <c r="N66" s="104" t="s">
        <v>128</v>
      </c>
      <c r="O66" s="80"/>
    </row>
    <row r="67" spans="1:15" ht="15.75" customHeight="1">
      <c r="A67" s="80"/>
      <c r="B67" s="44"/>
      <c r="C67" s="44"/>
      <c r="D67" s="44"/>
      <c r="E67" s="44"/>
      <c r="F67" s="44"/>
      <c r="G67" s="44"/>
      <c r="H67" s="44"/>
      <c r="I67" s="44"/>
      <c r="J67" s="44"/>
      <c r="K67" s="44"/>
      <c r="L67" s="44"/>
      <c r="M67" s="44"/>
      <c r="N67" s="44"/>
      <c r="O67" s="80"/>
    </row>
    <row r="68" spans="1:15" ht="15.75" customHeight="1"/>
    <row r="69" spans="1:15" ht="15.75" customHeight="1"/>
    <row r="70" spans="1:15" ht="15.75" customHeight="1"/>
    <row r="71" spans="1:15" ht="15.75" customHeight="1"/>
    <row r="72" spans="1:15" ht="15.75" customHeight="1"/>
    <row r="73" spans="1:15" ht="15.75" customHeight="1"/>
    <row r="74" spans="1:15" ht="15.75" customHeight="1"/>
    <row r="75" spans="1:15" ht="15.75" customHeight="1"/>
    <row r="76" spans="1:15" ht="15.75" customHeight="1"/>
    <row r="77" spans="1:15" ht="15.75" customHeight="1"/>
    <row r="78" spans="1:15" ht="15.75" customHeight="1"/>
    <row r="79" spans="1:15" ht="15.75" customHeight="1"/>
    <row r="80" spans="1:15"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sheetData>
  <protectedRanges>
    <protectedRange algorithmName="SHA-512" hashValue="NcQe0VjxFnxU9SziGkmWOoYUYoQ0T62vv+WqFE1sowJD2+jDiq1RKEMS6wObDPCk433k/JG1CTU3j62rwNOzdg==" saltValue="OlYFZTFPx5QDCqKlqXj8fw==" spinCount="100000" sqref="U39 H39" name="Range1_2_1_7"/>
  </protectedRanges>
  <mergeCells count="83">
    <mergeCell ref="C2:D2"/>
    <mergeCell ref="F2:K2"/>
    <mergeCell ref="C3:D3"/>
    <mergeCell ref="F3:K7"/>
    <mergeCell ref="L3:L7"/>
    <mergeCell ref="M15:M16"/>
    <mergeCell ref="D16:E16"/>
    <mergeCell ref="N3:N7"/>
    <mergeCell ref="C4:D4"/>
    <mergeCell ref="C5:D5"/>
    <mergeCell ref="C6:D6"/>
    <mergeCell ref="C7:D7"/>
    <mergeCell ref="C10:M10"/>
    <mergeCell ref="M3:M7"/>
    <mergeCell ref="D22:E22"/>
    <mergeCell ref="G11:K11"/>
    <mergeCell ref="D13:K13"/>
    <mergeCell ref="D14:E14"/>
    <mergeCell ref="D15:E15"/>
    <mergeCell ref="D17:K17"/>
    <mergeCell ref="D18:E18"/>
    <mergeCell ref="D19:E19"/>
    <mergeCell ref="D20:E20"/>
    <mergeCell ref="D21:K21"/>
    <mergeCell ref="G22:I22"/>
    <mergeCell ref="J22:K22"/>
    <mergeCell ref="D23:E23"/>
    <mergeCell ref="D24:E24"/>
    <mergeCell ref="D26:E26"/>
    <mergeCell ref="G26:I26"/>
    <mergeCell ref="J26:K26"/>
    <mergeCell ref="J23:K23"/>
    <mergeCell ref="D25:M25"/>
    <mergeCell ref="G24:I24"/>
    <mergeCell ref="J24:K24"/>
    <mergeCell ref="D27:E27"/>
    <mergeCell ref="G27:I27"/>
    <mergeCell ref="J27:K27"/>
    <mergeCell ref="D28:E28"/>
    <mergeCell ref="G28:I28"/>
    <mergeCell ref="J28:K28"/>
    <mergeCell ref="D30:E30"/>
    <mergeCell ref="D31:E31"/>
    <mergeCell ref="D32:E32"/>
    <mergeCell ref="D33:K33"/>
    <mergeCell ref="D34:E34"/>
    <mergeCell ref="N41:N42"/>
    <mergeCell ref="C44:E44"/>
    <mergeCell ref="E45:I45"/>
    <mergeCell ref="D35:E35"/>
    <mergeCell ref="D36:E36"/>
    <mergeCell ref="D37:K37"/>
    <mergeCell ref="D38:E38"/>
    <mergeCell ref="D39:E39"/>
    <mergeCell ref="D40:E40"/>
    <mergeCell ref="E60:H60"/>
    <mergeCell ref="E52:K52"/>
    <mergeCell ref="E53:K53"/>
    <mergeCell ref="E54:K54"/>
    <mergeCell ref="E55:K55"/>
    <mergeCell ref="E56:K56"/>
    <mergeCell ref="C59:E59"/>
    <mergeCell ref="E46:K46"/>
    <mergeCell ref="E47:K47"/>
    <mergeCell ref="E48:K48"/>
    <mergeCell ref="E49:K49"/>
    <mergeCell ref="E50:K50"/>
    <mergeCell ref="E64:H64"/>
    <mergeCell ref="I64:M64"/>
    <mergeCell ref="E65:H65"/>
    <mergeCell ref="I65:M65"/>
    <mergeCell ref="G23:I23"/>
    <mergeCell ref="E61:H61"/>
    <mergeCell ref="I61:M61"/>
    <mergeCell ref="E62:H62"/>
    <mergeCell ref="I62:M62"/>
    <mergeCell ref="E63:H63"/>
    <mergeCell ref="I63:M63"/>
    <mergeCell ref="E51:K51"/>
    <mergeCell ref="K41:K42"/>
    <mergeCell ref="L41:L42"/>
    <mergeCell ref="M41:M42"/>
    <mergeCell ref="D29:K29"/>
  </mergeCells>
  <conditionalFormatting sqref="L15 L27">
    <cfRule type="cellIs" dxfId="83" priority="42" operator="equal">
      <formula>"POOR"</formula>
    </cfRule>
    <cfRule type="cellIs" dxfId="82" priority="41" operator="equal">
      <formula>"MISSING"</formula>
    </cfRule>
    <cfRule type="cellIs" dxfId="81" priority="40" operator="equal">
      <formula>"INSUFFICIENT"</formula>
    </cfRule>
    <cfRule type="cellIs" dxfId="80" priority="39" operator="equal">
      <formula>"SUFFICIENT"</formula>
    </cfRule>
    <cfRule type="cellIs" dxfId="79" priority="38" operator="equal">
      <formula>"GOOD"</formula>
    </cfRule>
    <cfRule type="cellIs" dxfId="78" priority="37" operator="equal">
      <formula>"EXCELLENT"</formula>
    </cfRule>
  </conditionalFormatting>
  <conditionalFormatting sqref="L19">
    <cfRule type="cellIs" dxfId="77" priority="7" operator="equal">
      <formula>"EXCELLENT"</formula>
    </cfRule>
    <cfRule type="cellIs" dxfId="76" priority="8" operator="equal">
      <formula>"GOOD"</formula>
    </cfRule>
    <cfRule type="cellIs" dxfId="75" priority="9" operator="equal">
      <formula>"SUFFICIENT"</formula>
    </cfRule>
    <cfRule type="cellIs" dxfId="74" priority="10" operator="equal">
      <formula>"INSUFFICIENT"</formula>
    </cfRule>
    <cfRule type="cellIs" dxfId="73" priority="11" operator="equal">
      <formula>"MISSING"</formula>
    </cfRule>
    <cfRule type="cellIs" dxfId="72" priority="12" operator="equal">
      <formula>"POOR"</formula>
    </cfRule>
  </conditionalFormatting>
  <conditionalFormatting sqref="L23">
    <cfRule type="cellIs" dxfId="71" priority="1" operator="equal">
      <formula>"EXCELLENT"</formula>
    </cfRule>
    <cfRule type="cellIs" dxfId="70" priority="2" operator="equal">
      <formula>"GOOD"</formula>
    </cfRule>
    <cfRule type="cellIs" dxfId="69" priority="3" operator="equal">
      <formula>"SUFFICIENT"</formula>
    </cfRule>
    <cfRule type="cellIs" dxfId="68" priority="4" operator="equal">
      <formula>"INSUFFICIENT"</formula>
    </cfRule>
    <cfRule type="cellIs" dxfId="67" priority="5" operator="equal">
      <formula>"MISSING"</formula>
    </cfRule>
    <cfRule type="cellIs" dxfId="66" priority="6" operator="equal">
      <formula>"POOR"</formula>
    </cfRule>
  </conditionalFormatting>
  <conditionalFormatting sqref="L31">
    <cfRule type="cellIs" dxfId="65" priority="28" operator="equal">
      <formula>"EXCELLENT"</formula>
    </cfRule>
    <cfRule type="cellIs" dxfId="64" priority="33" operator="equal">
      <formula>"POOR"</formula>
    </cfRule>
    <cfRule type="cellIs" dxfId="63" priority="32" operator="equal">
      <formula>"MISSING"</formula>
    </cfRule>
    <cfRule type="cellIs" dxfId="62" priority="31" operator="equal">
      <formula>"INSUFFICIENT"</formula>
    </cfRule>
    <cfRule type="cellIs" dxfId="61" priority="30" operator="equal">
      <formula>"SUFFICIENT"</formula>
    </cfRule>
    <cfRule type="cellIs" dxfId="60" priority="29" operator="equal">
      <formula>"GOOD"</formula>
    </cfRule>
  </conditionalFormatting>
  <conditionalFormatting sqref="L35">
    <cfRule type="cellIs" dxfId="59" priority="22" operator="equal">
      <formula>"EXCELLENT"</formula>
    </cfRule>
    <cfRule type="cellIs" dxfId="58" priority="26" operator="equal">
      <formula>"MISSING"</formula>
    </cfRule>
    <cfRule type="cellIs" dxfId="57" priority="27" operator="equal">
      <formula>"POOR"</formula>
    </cfRule>
    <cfRule type="cellIs" dxfId="56" priority="25" operator="equal">
      <formula>"INSUFFICIENT"</formula>
    </cfRule>
    <cfRule type="cellIs" dxfId="55" priority="24" operator="equal">
      <formula>"SUFFICIENT"</formula>
    </cfRule>
    <cfRule type="cellIs" dxfId="54" priority="23" operator="equal">
      <formula>"GOOD"</formula>
    </cfRule>
  </conditionalFormatting>
  <conditionalFormatting sqref="L39">
    <cfRule type="cellIs" dxfId="53" priority="21" operator="equal">
      <formula>"POOR"</formula>
    </cfRule>
    <cfRule type="cellIs" dxfId="52" priority="20" operator="equal">
      <formula>"MISSING"</formula>
    </cfRule>
    <cfRule type="cellIs" dxfId="51" priority="19" operator="equal">
      <formula>"INSUFFICIENT"</formula>
    </cfRule>
    <cfRule type="cellIs" dxfId="50" priority="18" operator="equal">
      <formula>"SUFFICIENT"</formula>
    </cfRule>
    <cfRule type="cellIs" dxfId="49" priority="17" operator="equal">
      <formula>"GOOD"</formula>
    </cfRule>
    <cfRule type="cellIs" dxfId="48" priority="16" operator="equal">
      <formula>"EXCELLENT"</formula>
    </cfRule>
  </conditionalFormatting>
  <conditionalFormatting sqref="M3">
    <cfRule type="containsText" dxfId="47" priority="34" operator="containsText" text="FAIL">
      <formula>NOT(ISERROR(SEARCH(("FAIL"),(M3))))</formula>
    </cfRule>
    <cfRule type="cellIs" dxfId="46" priority="35" operator="equal">
      <formula>"PASS"</formula>
    </cfRule>
    <cfRule type="cellIs" dxfId="45" priority="36" operator="equal">
      <formula>"M/O"</formula>
    </cfRule>
  </conditionalFormatting>
  <conditionalFormatting sqref="N3:N7">
    <cfRule type="expression" dxfId="44" priority="13" stopIfTrue="1">
      <formula>$L$3&gt;5.5</formula>
    </cfRule>
    <cfRule type="expression" dxfId="43" priority="15" stopIfTrue="1">
      <formula>$L$3=0</formula>
    </cfRule>
    <cfRule type="expression" dxfId="42" priority="14" stopIfTrue="1">
      <formula>($L$3&lt;5.5) &amp; ($L$3&gt;0)</formula>
    </cfRule>
  </conditionalFormatting>
  <dataValidations count="6">
    <dataValidation type="list" allowBlank="1" showInputMessage="1" showErrorMessage="1" sqref="G20:K20" xr:uid="{4A58B036-4467-4AD3-9F9D-04FF0DAFFE4F}">
      <formula1>"0,1,2"</formula1>
    </dataValidation>
    <dataValidation type="list" allowBlank="1" showInputMessage="1" showErrorMessage="1" sqref="G28:K28 G24:I24" xr:uid="{BD683532-5161-420E-BDA5-C8DA52F8DF4B}">
      <formula1>"0,1,2,3,4,5"</formula1>
    </dataValidation>
    <dataValidation type="list" allowBlank="1" showInputMessage="1" showErrorMessage="1" sqref="G16:K16 G40:K40" xr:uid="{CBBD62C8-9CBE-40B8-AA12-6A141BEFC51B}">
      <formula1>"0,1,2,3"</formula1>
    </dataValidation>
    <dataValidation type="list" allowBlank="1" showInputMessage="1" showErrorMessage="1" sqref="G36:K36 G32:K32" xr:uid="{C3067159-8329-48EE-87DE-088EEFB7A7BA}">
      <formula1>"0,1,2,3,4"</formula1>
    </dataValidation>
    <dataValidation type="list" allowBlank="1" showInputMessage="1" showErrorMessage="1" sqref="F36 F28 F32 F40 F24 F16 F20" xr:uid="{0A163BD9-B2BF-4123-A43D-83301764C069}">
      <formula1>"Yes,No"</formula1>
    </dataValidation>
    <dataValidation type="list" allowBlank="1" showInputMessage="1" showErrorMessage="1" sqref="J24:K24" xr:uid="{59F7679B-4E5C-4599-86DD-892E422FFD7B}">
      <formula1>"0,1,2, 3,4,5"</formula1>
    </dataValidation>
  </dataValidations>
  <printOptions horizontalCentered="1" gridLines="1"/>
  <pageMargins left="0.25" right="0.25" top="0.75" bottom="0.75" header="0" footer="0"/>
  <pageSetup paperSize="9" pageOrder="overThenDown" orientation="portrait" cellComments="atEnd"/>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Y1019"/>
  <sheetViews>
    <sheetView showGridLines="0" showRowColHeaders="0" zoomScale="70" zoomScaleNormal="70" workbookViewId="0">
      <pane ySplit="7" topLeftCell="A14" activePane="bottomLeft" state="frozen"/>
      <selection pane="bottomLeft" activeCell="D17" sqref="D17:K17"/>
    </sheetView>
  </sheetViews>
  <sheetFormatPr defaultColWidth="12.42578125" defaultRowHeight="15" customHeight="1"/>
  <cols>
    <col min="1" max="2" width="9.140625" style="45" customWidth="1"/>
    <col min="3" max="3" width="17.42578125" style="45" customWidth="1"/>
    <col min="4" max="4" width="27" style="45" customWidth="1"/>
    <col min="5" max="5" width="22.7109375" style="45" customWidth="1"/>
    <col min="6" max="6" width="37.85546875" style="45" customWidth="1"/>
    <col min="7" max="7" width="29.28515625" style="45" customWidth="1"/>
    <col min="8" max="8" width="29.7109375" style="45" customWidth="1"/>
    <col min="9" max="9" width="33.140625" style="45" customWidth="1"/>
    <col min="10" max="11" width="36.7109375" style="45" customWidth="1"/>
    <col min="12" max="12" width="17.140625" style="45" customWidth="1"/>
    <col min="13" max="13" width="6.7109375" style="45" customWidth="1"/>
    <col min="14" max="14" width="17.140625" style="45" customWidth="1"/>
    <col min="15" max="15" width="6.7109375" style="45" customWidth="1"/>
    <col min="16" max="25" width="14.42578125" style="45" customWidth="1"/>
    <col min="26" max="16384" width="12.42578125" style="45"/>
  </cols>
  <sheetData>
    <row r="1" spans="1:25" ht="20.100000000000001" customHeight="1">
      <c r="A1" s="80"/>
      <c r="B1" s="80"/>
      <c r="C1" s="80"/>
      <c r="D1" s="80"/>
      <c r="E1" s="80"/>
      <c r="F1" s="80"/>
      <c r="G1" s="80"/>
      <c r="H1" s="80"/>
      <c r="I1" s="80"/>
      <c r="J1" s="80"/>
      <c r="K1" s="80"/>
      <c r="L1" s="80"/>
      <c r="M1" s="80"/>
      <c r="N1" s="80"/>
      <c r="O1" s="80"/>
    </row>
    <row r="2" spans="1:25" ht="20.100000000000001" customHeight="1">
      <c r="A2" s="80"/>
      <c r="B2" s="47"/>
      <c r="C2" s="249"/>
      <c r="D2" s="268"/>
      <c r="E2" s="62" t="s">
        <v>0</v>
      </c>
      <c r="F2" s="250" t="s">
        <v>1</v>
      </c>
      <c r="G2" s="250"/>
      <c r="H2" s="250"/>
      <c r="I2" s="250"/>
      <c r="J2" s="250"/>
      <c r="K2" s="250"/>
      <c r="L2" s="66" t="s">
        <v>2</v>
      </c>
      <c r="M2" s="66"/>
      <c r="N2" s="63" t="s">
        <v>3</v>
      </c>
      <c r="O2" s="80"/>
      <c r="P2" s="48"/>
      <c r="Q2" s="48"/>
      <c r="R2" s="48"/>
      <c r="S2" s="48"/>
      <c r="T2" s="48"/>
      <c r="U2" s="48"/>
      <c r="V2" s="48"/>
      <c r="W2" s="48"/>
      <c r="X2" s="48"/>
      <c r="Y2" s="48"/>
    </row>
    <row r="3" spans="1:25" ht="20.100000000000001" customHeight="1">
      <c r="A3" s="80"/>
      <c r="B3" s="49"/>
      <c r="C3" s="245" t="s">
        <v>4</v>
      </c>
      <c r="D3" s="246"/>
      <c r="E3" s="61" t="s">
        <v>5</v>
      </c>
      <c r="F3" s="251" t="s">
        <v>6</v>
      </c>
      <c r="G3" s="252"/>
      <c r="H3" s="252"/>
      <c r="I3" s="252"/>
      <c r="J3" s="252"/>
      <c r="K3" s="253"/>
      <c r="L3" s="254">
        <v>0</v>
      </c>
      <c r="M3" s="248"/>
      <c r="N3" s="242" t="str">
        <f>IF(L3&gt;=5.5,"PASS",IF(L3&gt;0,"FAIL","M/O"))</f>
        <v>M/O</v>
      </c>
      <c r="O3" s="80"/>
    </row>
    <row r="4" spans="1:25" ht="20.100000000000001" customHeight="1">
      <c r="A4" s="80"/>
      <c r="B4" s="49"/>
      <c r="C4" s="245" t="s">
        <v>7</v>
      </c>
      <c r="D4" s="246"/>
      <c r="E4" s="61" t="s">
        <v>8</v>
      </c>
      <c r="F4" s="251"/>
      <c r="G4" s="252"/>
      <c r="H4" s="252"/>
      <c r="I4" s="252"/>
      <c r="J4" s="252"/>
      <c r="K4" s="253"/>
      <c r="L4" s="269"/>
      <c r="M4" s="270"/>
      <c r="N4" s="243"/>
      <c r="O4" s="80"/>
    </row>
    <row r="5" spans="1:25" ht="20.100000000000001" customHeight="1">
      <c r="A5" s="80"/>
      <c r="B5" s="49"/>
      <c r="C5" s="245" t="s">
        <v>9</v>
      </c>
      <c r="D5" s="246"/>
      <c r="E5" s="60" t="s">
        <v>10</v>
      </c>
      <c r="F5" s="251"/>
      <c r="G5" s="252"/>
      <c r="H5" s="252"/>
      <c r="I5" s="252"/>
      <c r="J5" s="252"/>
      <c r="K5" s="253"/>
      <c r="L5" s="269"/>
      <c r="M5" s="270"/>
      <c r="N5" s="243"/>
      <c r="O5" s="80"/>
    </row>
    <row r="6" spans="1:25" ht="20.100000000000001" customHeight="1">
      <c r="A6" s="80"/>
      <c r="B6" s="49"/>
      <c r="C6" s="245" t="s">
        <v>11</v>
      </c>
      <c r="D6" s="246"/>
      <c r="E6" s="60" t="s">
        <v>12</v>
      </c>
      <c r="F6" s="251"/>
      <c r="G6" s="252"/>
      <c r="H6" s="252"/>
      <c r="I6" s="252"/>
      <c r="J6" s="252"/>
      <c r="K6" s="253"/>
      <c r="L6" s="269"/>
      <c r="M6" s="270"/>
      <c r="N6" s="243"/>
      <c r="O6" s="80"/>
    </row>
    <row r="7" spans="1:25" ht="20.100000000000001" customHeight="1">
      <c r="A7" s="80"/>
      <c r="B7" s="49"/>
      <c r="C7" s="245" t="s">
        <v>13</v>
      </c>
      <c r="D7" s="246"/>
      <c r="E7" s="60"/>
      <c r="F7" s="251"/>
      <c r="G7" s="252"/>
      <c r="H7" s="252"/>
      <c r="I7" s="252"/>
      <c r="J7" s="252"/>
      <c r="K7" s="253"/>
      <c r="L7" s="269"/>
      <c r="M7" s="270"/>
      <c r="N7" s="244"/>
      <c r="O7" s="80"/>
    </row>
    <row r="8" spans="1:25" ht="20.100000000000001" customHeight="1">
      <c r="A8" s="80"/>
      <c r="B8" s="46"/>
      <c r="C8" s="46"/>
      <c r="D8" s="46"/>
      <c r="E8" s="46"/>
      <c r="F8" s="46"/>
      <c r="G8" s="46"/>
      <c r="H8" s="46"/>
      <c r="I8" s="46"/>
      <c r="J8" s="46"/>
      <c r="K8" s="46"/>
      <c r="L8" s="46"/>
      <c r="M8" s="46"/>
      <c r="N8" s="46"/>
      <c r="O8" s="80"/>
    </row>
    <row r="9" spans="1:25" ht="15.75" customHeight="1">
      <c r="A9" s="80"/>
      <c r="B9" s="80"/>
      <c r="C9" s="80"/>
      <c r="D9" s="80"/>
      <c r="E9" s="80"/>
      <c r="F9" s="80"/>
      <c r="G9" s="80"/>
      <c r="H9" s="80"/>
      <c r="I9" s="80"/>
      <c r="J9" s="80"/>
      <c r="K9" s="80"/>
      <c r="L9" s="80"/>
      <c r="M9" s="80"/>
      <c r="N9" s="80"/>
      <c r="O9" s="80"/>
    </row>
    <row r="10" spans="1:25" ht="24.95" customHeight="1">
      <c r="A10" s="80"/>
      <c r="B10" s="46"/>
      <c r="C10" s="247" t="s">
        <v>14</v>
      </c>
      <c r="D10" s="247"/>
      <c r="E10" s="247"/>
      <c r="F10" s="247"/>
      <c r="G10" s="247"/>
      <c r="H10" s="247"/>
      <c r="I10" s="247"/>
      <c r="J10" s="247"/>
      <c r="K10" s="247"/>
      <c r="L10" s="247"/>
      <c r="M10" s="247"/>
      <c r="N10" s="46"/>
      <c r="O10" s="80"/>
    </row>
    <row r="11" spans="1:25" ht="15.75" customHeight="1">
      <c r="A11" s="80"/>
      <c r="B11" s="46"/>
      <c r="C11" s="50"/>
      <c r="D11" s="51" t="s">
        <v>15</v>
      </c>
      <c r="E11" s="52"/>
      <c r="F11" s="50" t="s">
        <v>16</v>
      </c>
      <c r="G11" s="228" t="s">
        <v>17</v>
      </c>
      <c r="H11" s="228"/>
      <c r="I11" s="228"/>
      <c r="J11" s="228"/>
      <c r="K11" s="228"/>
      <c r="L11" s="50" t="s">
        <v>18</v>
      </c>
      <c r="M11" s="50" t="s">
        <v>19</v>
      </c>
      <c r="N11" s="50" t="s">
        <v>20</v>
      </c>
      <c r="O11" s="80"/>
    </row>
    <row r="12" spans="1:25" ht="15.75" customHeight="1">
      <c r="A12" s="80"/>
      <c r="B12" s="46"/>
      <c r="C12" s="50"/>
      <c r="D12" s="51"/>
      <c r="E12" s="52"/>
      <c r="F12" s="50"/>
      <c r="G12" s="50"/>
      <c r="H12" s="50"/>
      <c r="I12" s="50"/>
      <c r="J12" s="50"/>
      <c r="K12" s="50"/>
      <c r="L12" s="50"/>
      <c r="M12" s="50"/>
      <c r="N12" s="50"/>
      <c r="O12" s="80"/>
    </row>
    <row r="13" spans="1:25" ht="48" customHeight="1">
      <c r="A13" s="80"/>
      <c r="B13" s="46"/>
      <c r="C13" s="118" t="s">
        <v>21</v>
      </c>
      <c r="D13" s="229" t="s">
        <v>22</v>
      </c>
      <c r="E13" s="230"/>
      <c r="F13" s="230"/>
      <c r="G13" s="230"/>
      <c r="H13" s="230"/>
      <c r="I13" s="230"/>
      <c r="J13" s="230"/>
      <c r="K13" s="230"/>
      <c r="L13" s="53"/>
      <c r="M13" s="53"/>
      <c r="N13" s="54"/>
      <c r="O13" s="80"/>
    </row>
    <row r="14" spans="1:25" ht="20.100000000000001" customHeight="1">
      <c r="A14" s="80"/>
      <c r="B14" s="46"/>
      <c r="C14" s="118"/>
      <c r="D14" s="231"/>
      <c r="E14" s="232"/>
      <c r="F14" s="139" t="s">
        <v>23</v>
      </c>
      <c r="G14" s="143" t="s">
        <v>24</v>
      </c>
      <c r="H14" s="143" t="s">
        <v>25</v>
      </c>
      <c r="I14" s="143" t="s">
        <v>26</v>
      </c>
      <c r="J14" s="143" t="s">
        <v>27</v>
      </c>
      <c r="K14" s="143" t="s">
        <v>28</v>
      </c>
      <c r="L14" s="167"/>
      <c r="M14" s="121"/>
      <c r="N14" s="122"/>
      <c r="O14" s="80"/>
    </row>
    <row r="15" spans="1:25" ht="141.75" customHeight="1">
      <c r="A15" s="80"/>
      <c r="B15" s="46"/>
      <c r="C15" s="113"/>
      <c r="D15" s="210" t="s">
        <v>149</v>
      </c>
      <c r="E15" s="203"/>
      <c r="F15" s="160" t="s">
        <v>150</v>
      </c>
      <c r="G15" s="166" t="s">
        <v>31</v>
      </c>
      <c r="H15" s="166" t="s">
        <v>151</v>
      </c>
      <c r="I15" s="166" t="s">
        <v>152</v>
      </c>
      <c r="J15" s="166" t="s">
        <v>153</v>
      </c>
      <c r="K15" s="166" t="s">
        <v>154</v>
      </c>
      <c r="L15" s="162">
        <v>0</v>
      </c>
      <c r="M15" s="239" t="s">
        <v>36</v>
      </c>
      <c r="N15" s="126">
        <v>15</v>
      </c>
      <c r="O15" s="80"/>
    </row>
    <row r="16" spans="1:25" ht="24.95" customHeight="1">
      <c r="A16" s="80"/>
      <c r="B16" s="46"/>
      <c r="C16" s="112"/>
      <c r="D16" s="241" t="s">
        <v>37</v>
      </c>
      <c r="E16" s="204"/>
      <c r="F16" s="140" t="s">
        <v>38</v>
      </c>
      <c r="G16" s="144">
        <v>0</v>
      </c>
      <c r="H16" s="144">
        <v>0</v>
      </c>
      <c r="I16" s="144">
        <v>0</v>
      </c>
      <c r="J16" s="144">
        <v>0</v>
      </c>
      <c r="K16" s="144">
        <v>0</v>
      </c>
      <c r="L16" s="168"/>
      <c r="M16" s="240"/>
      <c r="N16" s="127"/>
      <c r="O16" s="80"/>
      <c r="P16" s="45">
        <f>SUM(G16:K16)</f>
        <v>0</v>
      </c>
    </row>
    <row r="17" spans="1:25" ht="48" customHeight="1">
      <c r="A17" s="80"/>
      <c r="B17" s="46"/>
      <c r="C17" s="118" t="s">
        <v>21</v>
      </c>
      <c r="D17" s="229" t="s">
        <v>22</v>
      </c>
      <c r="E17" s="230"/>
      <c r="F17" s="230"/>
      <c r="G17" s="230"/>
      <c r="H17" s="230"/>
      <c r="I17" s="230"/>
      <c r="J17" s="230"/>
      <c r="K17" s="230"/>
      <c r="L17" s="77"/>
      <c r="M17" s="78"/>
      <c r="N17" s="79"/>
      <c r="O17" s="80"/>
    </row>
    <row r="18" spans="1:25" ht="20.100000000000001" customHeight="1">
      <c r="A18" s="80"/>
      <c r="B18" s="46"/>
      <c r="C18" s="118"/>
      <c r="D18" s="231"/>
      <c r="E18" s="232"/>
      <c r="F18" s="139" t="s">
        <v>23</v>
      </c>
      <c r="G18" s="143" t="s">
        <v>67</v>
      </c>
      <c r="H18" s="143" t="s">
        <v>68</v>
      </c>
      <c r="I18" s="143" t="s">
        <v>69</v>
      </c>
      <c r="J18" s="143" t="s">
        <v>70</v>
      </c>
      <c r="K18" s="143" t="s">
        <v>71</v>
      </c>
      <c r="L18" s="161"/>
      <c r="M18" s="124"/>
      <c r="N18" s="125"/>
      <c r="O18" s="80"/>
    </row>
    <row r="19" spans="1:25" ht="141.75" customHeight="1">
      <c r="A19" s="80"/>
      <c r="B19" s="46"/>
      <c r="C19" s="113"/>
      <c r="D19" s="210"/>
      <c r="E19" s="203"/>
      <c r="F19" s="160"/>
      <c r="G19" s="164"/>
      <c r="H19" s="164"/>
      <c r="I19" s="164"/>
      <c r="J19" s="164"/>
      <c r="K19" s="164"/>
      <c r="L19" s="162">
        <f>IF(F20="Yes",SUM(G20:K20)*2,0)</f>
        <v>0</v>
      </c>
      <c r="M19" s="124" t="s">
        <v>36</v>
      </c>
      <c r="N19" s="125">
        <v>0</v>
      </c>
      <c r="O19" s="80"/>
    </row>
    <row r="20" spans="1:25" ht="24.95" customHeight="1">
      <c r="A20" s="80"/>
      <c r="B20" s="46"/>
      <c r="C20" s="112"/>
      <c r="D20" s="204" t="s">
        <v>37</v>
      </c>
      <c r="E20" s="205"/>
      <c r="F20" s="140" t="s">
        <v>38</v>
      </c>
      <c r="G20" s="144">
        <v>0</v>
      </c>
      <c r="H20" s="144">
        <v>0</v>
      </c>
      <c r="I20" s="163">
        <v>0</v>
      </c>
      <c r="J20" s="144">
        <v>0</v>
      </c>
      <c r="K20" s="144">
        <v>0</v>
      </c>
      <c r="L20" s="77"/>
      <c r="M20" s="78"/>
      <c r="N20" s="79"/>
      <c r="O20" s="80"/>
      <c r="Q20"/>
      <c r="R20"/>
      <c r="S20"/>
      <c r="T20"/>
      <c r="U20"/>
      <c r="V20"/>
      <c r="W20"/>
      <c r="X20"/>
      <c r="Y20"/>
    </row>
    <row r="21" spans="1:25" ht="48" customHeight="1">
      <c r="A21" s="80"/>
      <c r="B21" s="46"/>
      <c r="C21" s="118" t="s">
        <v>39</v>
      </c>
      <c r="D21" s="258" t="s">
        <v>155</v>
      </c>
      <c r="E21" s="258"/>
      <c r="F21" s="258"/>
      <c r="G21" s="258"/>
      <c r="H21" s="258"/>
      <c r="I21" s="258"/>
      <c r="J21" s="258"/>
      <c r="K21" s="258"/>
      <c r="L21" s="123"/>
      <c r="M21" s="124"/>
      <c r="N21" s="125"/>
      <c r="O21" s="80"/>
      <c r="Q21"/>
      <c r="R21"/>
      <c r="S21"/>
      <c r="T21"/>
      <c r="U21"/>
      <c r="V21"/>
      <c r="W21"/>
      <c r="X21"/>
      <c r="Y21"/>
    </row>
    <row r="22" spans="1:25" ht="24.95" customHeight="1">
      <c r="A22" s="80"/>
      <c r="B22" s="46"/>
      <c r="C22" s="118"/>
      <c r="D22" s="207"/>
      <c r="E22" s="207"/>
      <c r="F22" s="139" t="s">
        <v>23</v>
      </c>
      <c r="G22" s="255" t="s">
        <v>67</v>
      </c>
      <c r="H22" s="255"/>
      <c r="I22" s="142" t="s">
        <v>42</v>
      </c>
      <c r="J22" s="120" t="s">
        <v>43</v>
      </c>
      <c r="K22" s="119" t="s">
        <v>44</v>
      </c>
      <c r="L22" s="123"/>
      <c r="M22" s="124"/>
      <c r="N22" s="125"/>
      <c r="O22" s="80"/>
      <c r="Q22"/>
      <c r="R22"/>
      <c r="S22"/>
      <c r="T22"/>
      <c r="U22"/>
      <c r="V22"/>
      <c r="W22"/>
      <c r="X22"/>
      <c r="Y22"/>
    </row>
    <row r="23" spans="1:25" ht="141.75" customHeight="1">
      <c r="A23" s="80"/>
      <c r="B23" s="46"/>
      <c r="C23" s="112"/>
      <c r="D23" s="210" t="s">
        <v>46</v>
      </c>
      <c r="E23" s="203"/>
      <c r="F23" s="135" t="s">
        <v>156</v>
      </c>
      <c r="G23" s="256" t="s">
        <v>157</v>
      </c>
      <c r="H23" s="257"/>
      <c r="I23" s="141" t="s">
        <v>50</v>
      </c>
      <c r="J23" s="141" t="s">
        <v>158</v>
      </c>
      <c r="K23" s="138" t="s">
        <v>52</v>
      </c>
      <c r="L23" s="123">
        <f>IF(F24="Yes",SUM(G24:K24),0)</f>
        <v>0</v>
      </c>
      <c r="M23" s="124" t="s">
        <v>36</v>
      </c>
      <c r="N23" s="125">
        <v>10</v>
      </c>
      <c r="O23" s="80"/>
      <c r="Q23"/>
      <c r="R23"/>
      <c r="S23"/>
      <c r="T23"/>
      <c r="U23"/>
      <c r="V23"/>
      <c r="W23"/>
      <c r="X23"/>
      <c r="Y23"/>
    </row>
    <row r="24" spans="1:25" ht="24.95" customHeight="1">
      <c r="A24" s="80"/>
      <c r="B24" s="46"/>
      <c r="C24" s="112"/>
      <c r="D24" s="204" t="s">
        <v>37</v>
      </c>
      <c r="E24" s="205"/>
      <c r="F24" s="140" t="s">
        <v>38</v>
      </c>
      <c r="G24" s="259">
        <v>0</v>
      </c>
      <c r="H24" s="259"/>
      <c r="I24" s="134">
        <v>0</v>
      </c>
      <c r="J24" s="134">
        <v>0</v>
      </c>
      <c r="K24" s="133">
        <v>0</v>
      </c>
      <c r="L24" s="123"/>
      <c r="M24" s="124"/>
      <c r="N24" s="125"/>
      <c r="O24" s="80"/>
      <c r="Q24"/>
      <c r="R24"/>
      <c r="S24"/>
      <c r="T24"/>
      <c r="U24"/>
      <c r="V24"/>
      <c r="W24"/>
      <c r="X24"/>
      <c r="Y24"/>
    </row>
    <row r="25" spans="1:25" ht="46.5" customHeight="1">
      <c r="A25" s="80"/>
      <c r="B25" s="46"/>
      <c r="C25" s="118" t="s">
        <v>53</v>
      </c>
      <c r="D25" s="233" t="s">
        <v>159</v>
      </c>
      <c r="E25" s="271"/>
      <c r="F25" s="271"/>
      <c r="G25" s="271"/>
      <c r="H25" s="271"/>
      <c r="I25" s="271"/>
      <c r="J25" s="271"/>
      <c r="K25" s="271"/>
      <c r="L25" s="67"/>
      <c r="M25" s="69"/>
      <c r="N25" s="68"/>
      <c r="O25" s="80"/>
      <c r="Q25"/>
      <c r="R25"/>
      <c r="S25"/>
      <c r="T25"/>
      <c r="U25"/>
      <c r="V25"/>
      <c r="W25"/>
      <c r="X25"/>
      <c r="Y25"/>
    </row>
    <row r="26" spans="1:25" ht="20.100000000000001" customHeight="1">
      <c r="A26" s="80"/>
      <c r="B26" s="46"/>
      <c r="C26" s="118"/>
      <c r="D26" s="207"/>
      <c r="E26" s="207"/>
      <c r="F26" s="120" t="s">
        <v>23</v>
      </c>
      <c r="G26" s="218" t="s">
        <v>55</v>
      </c>
      <c r="H26" s="219"/>
      <c r="I26" s="220"/>
      <c r="J26" s="218" t="s">
        <v>56</v>
      </c>
      <c r="K26" s="220"/>
      <c r="L26" s="73"/>
      <c r="M26" s="76"/>
      <c r="N26" s="71"/>
      <c r="O26" s="80"/>
      <c r="Q26"/>
      <c r="R26"/>
      <c r="S26"/>
      <c r="T26"/>
      <c r="U26"/>
      <c r="V26"/>
      <c r="W26"/>
      <c r="X26"/>
      <c r="Y26"/>
    </row>
    <row r="27" spans="1:25" ht="133.5" customHeight="1">
      <c r="A27" s="80"/>
      <c r="B27" s="46"/>
      <c r="C27" s="112"/>
      <c r="D27" s="210" t="s">
        <v>57</v>
      </c>
      <c r="E27" s="203"/>
      <c r="F27" s="135" t="s">
        <v>160</v>
      </c>
      <c r="G27" s="211" t="s">
        <v>161</v>
      </c>
      <c r="H27" s="212"/>
      <c r="I27" s="213"/>
      <c r="J27" s="211" t="s">
        <v>59</v>
      </c>
      <c r="K27" s="212"/>
      <c r="L27" s="123">
        <f>IF(F28="Yes",SUM(G28:K28),0)</f>
        <v>0</v>
      </c>
      <c r="M27" s="128" t="s">
        <v>36</v>
      </c>
      <c r="N27" s="122">
        <v>10</v>
      </c>
      <c r="O27" s="80"/>
      <c r="Q27"/>
      <c r="R27"/>
      <c r="S27"/>
      <c r="T27"/>
      <c r="U27"/>
      <c r="V27"/>
      <c r="W27"/>
      <c r="X27"/>
      <c r="Y27"/>
    </row>
    <row r="28" spans="1:25" ht="24.95" customHeight="1">
      <c r="A28" s="80"/>
      <c r="B28" s="46"/>
      <c r="C28" s="112"/>
      <c r="D28" s="214" t="s">
        <v>37</v>
      </c>
      <c r="E28" s="204"/>
      <c r="F28" s="132" t="s">
        <v>38</v>
      </c>
      <c r="G28" s="215">
        <v>0</v>
      </c>
      <c r="H28" s="216"/>
      <c r="I28" s="217"/>
      <c r="J28" s="215">
        <v>0</v>
      </c>
      <c r="K28" s="217"/>
      <c r="L28" s="129"/>
      <c r="M28" s="130"/>
      <c r="N28" s="131"/>
      <c r="O28" s="80"/>
      <c r="Q28"/>
      <c r="R28"/>
      <c r="S28"/>
      <c r="T28"/>
      <c r="U28"/>
      <c r="V28"/>
      <c r="W28"/>
      <c r="X28"/>
      <c r="Y28"/>
    </row>
    <row r="29" spans="1:25" ht="48" customHeight="1">
      <c r="A29" s="80"/>
      <c r="B29" s="46"/>
      <c r="C29" s="118" t="s">
        <v>65</v>
      </c>
      <c r="D29" s="196" t="s">
        <v>66</v>
      </c>
      <c r="E29" s="271"/>
      <c r="F29" s="271"/>
      <c r="G29" s="271"/>
      <c r="H29" s="271"/>
      <c r="I29" s="271"/>
      <c r="J29" s="271"/>
      <c r="K29" s="271"/>
      <c r="L29" s="74"/>
      <c r="M29" s="69"/>
      <c r="N29" s="72"/>
      <c r="O29" s="80"/>
      <c r="Q29"/>
      <c r="R29"/>
      <c r="S29"/>
      <c r="T29"/>
      <c r="U29"/>
      <c r="V29"/>
      <c r="W29"/>
      <c r="X29"/>
      <c r="Y29"/>
    </row>
    <row r="30" spans="1:25" ht="20.100000000000001" customHeight="1">
      <c r="A30" s="80"/>
      <c r="B30" s="46"/>
      <c r="C30" s="118"/>
      <c r="D30" s="207"/>
      <c r="E30" s="207"/>
      <c r="F30" s="120" t="s">
        <v>23</v>
      </c>
      <c r="G30" s="120" t="s">
        <v>67</v>
      </c>
      <c r="H30" s="120" t="s">
        <v>68</v>
      </c>
      <c r="I30" s="120" t="s">
        <v>69</v>
      </c>
      <c r="J30" s="120" t="s">
        <v>70</v>
      </c>
      <c r="K30" s="120" t="s">
        <v>71</v>
      </c>
      <c r="L30" s="73"/>
      <c r="M30" s="76"/>
      <c r="N30" s="71"/>
      <c r="O30" s="80"/>
      <c r="Q30"/>
      <c r="R30"/>
      <c r="S30"/>
      <c r="T30"/>
      <c r="U30"/>
      <c r="V30"/>
      <c r="W30"/>
      <c r="X30"/>
      <c r="Y30"/>
    </row>
    <row r="31" spans="1:25" ht="131.25" customHeight="1">
      <c r="A31" s="80"/>
      <c r="B31" s="46"/>
      <c r="C31" s="112"/>
      <c r="D31" s="208" t="s">
        <v>72</v>
      </c>
      <c r="E31" s="209"/>
      <c r="F31" s="135" t="s">
        <v>162</v>
      </c>
      <c r="G31" s="136" t="s">
        <v>163</v>
      </c>
      <c r="H31" s="136" t="s">
        <v>164</v>
      </c>
      <c r="I31" s="137" t="s">
        <v>165</v>
      </c>
      <c r="J31" s="136" t="s">
        <v>166</v>
      </c>
      <c r="K31" s="138" t="s">
        <v>167</v>
      </c>
      <c r="L31" s="123">
        <f>IF(F32="Yes",SUM(G32:K32),0)</f>
        <v>0</v>
      </c>
      <c r="M31" s="128" t="s">
        <v>36</v>
      </c>
      <c r="N31" s="122">
        <v>30</v>
      </c>
      <c r="O31" s="80"/>
      <c r="Q31"/>
      <c r="R31"/>
      <c r="S31"/>
      <c r="T31"/>
      <c r="U31"/>
      <c r="V31"/>
      <c r="W31"/>
      <c r="X31"/>
      <c r="Y31"/>
    </row>
    <row r="32" spans="1:25" ht="24.95" customHeight="1">
      <c r="A32" s="80"/>
      <c r="B32" s="46"/>
      <c r="C32" s="112"/>
      <c r="D32" s="204" t="s">
        <v>37</v>
      </c>
      <c r="E32" s="205"/>
      <c r="F32" s="132" t="s">
        <v>38</v>
      </c>
      <c r="G32" s="134">
        <v>0</v>
      </c>
      <c r="H32" s="134">
        <v>0</v>
      </c>
      <c r="I32" s="134">
        <v>0</v>
      </c>
      <c r="J32" s="134">
        <v>0</v>
      </c>
      <c r="K32" s="133">
        <v>0</v>
      </c>
      <c r="L32" s="123"/>
      <c r="M32" s="128"/>
      <c r="N32" s="122"/>
      <c r="O32" s="80"/>
      <c r="Q32"/>
      <c r="R32"/>
      <c r="S32"/>
      <c r="T32"/>
      <c r="U32"/>
      <c r="V32"/>
      <c r="W32"/>
      <c r="X32"/>
      <c r="Y32"/>
    </row>
    <row r="33" spans="1:25" ht="48" customHeight="1">
      <c r="A33" s="80"/>
      <c r="B33" s="46"/>
      <c r="C33" s="118" t="s">
        <v>65</v>
      </c>
      <c r="D33" s="196" t="s">
        <v>66</v>
      </c>
      <c r="E33" s="271"/>
      <c r="F33" s="271"/>
      <c r="G33" s="271"/>
      <c r="H33" s="271"/>
      <c r="I33" s="271"/>
      <c r="J33" s="271"/>
      <c r="K33" s="271"/>
      <c r="L33" s="74"/>
      <c r="M33" s="69"/>
      <c r="N33" s="72"/>
      <c r="O33" s="80"/>
      <c r="Q33"/>
      <c r="R33"/>
      <c r="S33"/>
      <c r="T33"/>
      <c r="U33"/>
      <c r="V33"/>
      <c r="W33"/>
      <c r="X33"/>
      <c r="Y33"/>
    </row>
    <row r="34" spans="1:25" ht="20.100000000000001" customHeight="1">
      <c r="A34" s="80"/>
      <c r="B34" s="46"/>
      <c r="C34" s="118"/>
      <c r="D34" s="207"/>
      <c r="E34" s="207"/>
      <c r="F34" s="120" t="s">
        <v>23</v>
      </c>
      <c r="G34" s="120" t="s">
        <v>67</v>
      </c>
      <c r="H34" s="120" t="s">
        <v>68</v>
      </c>
      <c r="I34" s="120" t="s">
        <v>69</v>
      </c>
      <c r="J34" s="120" t="s">
        <v>70</v>
      </c>
      <c r="K34" s="120" t="s">
        <v>71</v>
      </c>
      <c r="L34" s="67"/>
      <c r="M34" s="69"/>
      <c r="N34" s="68"/>
      <c r="O34" s="80"/>
      <c r="Q34"/>
      <c r="R34"/>
      <c r="S34"/>
      <c r="T34"/>
      <c r="U34"/>
      <c r="V34"/>
      <c r="W34"/>
      <c r="X34"/>
      <c r="Y34"/>
    </row>
    <row r="35" spans="1:25" ht="162.75" customHeight="1">
      <c r="A35" s="80"/>
      <c r="B35" s="55"/>
      <c r="C35" s="112"/>
      <c r="D35" s="210" t="s">
        <v>168</v>
      </c>
      <c r="E35" s="203"/>
      <c r="F35" s="160" t="s">
        <v>160</v>
      </c>
      <c r="G35" s="164" t="s">
        <v>169</v>
      </c>
      <c r="H35" s="164" t="s">
        <v>170</v>
      </c>
      <c r="I35" s="164" t="s">
        <v>171</v>
      </c>
      <c r="J35" s="164" t="s">
        <v>172</v>
      </c>
      <c r="K35" s="164" t="s">
        <v>173</v>
      </c>
      <c r="L35" s="67">
        <f>IF(F36="Yes",SUM(G36:K36),0)</f>
        <v>0</v>
      </c>
      <c r="M35" s="75" t="s">
        <v>36</v>
      </c>
      <c r="N35" s="68">
        <v>20</v>
      </c>
      <c r="O35" s="80"/>
      <c r="P35" s="56"/>
      <c r="Q35"/>
      <c r="R35"/>
      <c r="S35"/>
      <c r="T35"/>
      <c r="U35"/>
      <c r="V35"/>
      <c r="W35"/>
      <c r="X35"/>
      <c r="Y35"/>
    </row>
    <row r="36" spans="1:25" ht="24.95" customHeight="1">
      <c r="A36" s="80"/>
      <c r="B36" s="55"/>
      <c r="C36" s="112"/>
      <c r="D36" s="204" t="s">
        <v>37</v>
      </c>
      <c r="E36" s="205"/>
      <c r="F36" s="132" t="s">
        <v>38</v>
      </c>
      <c r="G36" s="134">
        <v>0</v>
      </c>
      <c r="H36" s="134">
        <v>0</v>
      </c>
      <c r="I36" s="134">
        <v>0</v>
      </c>
      <c r="J36" s="134">
        <v>0</v>
      </c>
      <c r="K36" s="133">
        <v>0</v>
      </c>
      <c r="L36" s="67"/>
      <c r="M36" s="69"/>
      <c r="N36" s="68"/>
      <c r="O36" s="80"/>
      <c r="P36" s="56"/>
      <c r="Q36"/>
      <c r="R36"/>
      <c r="S36"/>
      <c r="T36"/>
      <c r="U36"/>
      <c r="V36"/>
      <c r="W36"/>
      <c r="X36"/>
      <c r="Y36"/>
    </row>
    <row r="37" spans="1:25" ht="48" customHeight="1">
      <c r="A37" s="80"/>
      <c r="B37" s="55"/>
      <c r="C37" s="118" t="s">
        <v>86</v>
      </c>
      <c r="D37" s="206" t="s">
        <v>87</v>
      </c>
      <c r="E37" s="271"/>
      <c r="F37" s="271"/>
      <c r="G37" s="271"/>
      <c r="H37" s="271"/>
      <c r="I37" s="271"/>
      <c r="J37" s="271"/>
      <c r="K37" s="271"/>
      <c r="L37" s="67"/>
      <c r="M37" s="69"/>
      <c r="N37" s="68"/>
      <c r="O37" s="80"/>
      <c r="P37" s="56"/>
      <c r="Q37"/>
      <c r="R37"/>
      <c r="S37"/>
      <c r="T37"/>
      <c r="U37"/>
      <c r="V37"/>
      <c r="W37"/>
      <c r="X37"/>
      <c r="Y37"/>
    </row>
    <row r="38" spans="1:25" ht="24.95" customHeight="1">
      <c r="A38" s="80"/>
      <c r="B38" s="55"/>
      <c r="C38" s="118"/>
      <c r="D38" s="207"/>
      <c r="E38" s="207"/>
      <c r="F38" s="120" t="s">
        <v>23</v>
      </c>
      <c r="G38" s="120" t="s">
        <v>24</v>
      </c>
      <c r="H38" s="120" t="s">
        <v>25</v>
      </c>
      <c r="I38" s="120" t="s">
        <v>26</v>
      </c>
      <c r="J38" s="120" t="s">
        <v>27</v>
      </c>
      <c r="K38" s="120" t="s">
        <v>28</v>
      </c>
      <c r="L38" s="67"/>
      <c r="M38" s="69"/>
      <c r="N38" s="68"/>
      <c r="O38" s="80"/>
      <c r="P38" s="56"/>
      <c r="Q38"/>
      <c r="R38"/>
      <c r="S38"/>
      <c r="T38"/>
      <c r="U38"/>
      <c r="V38"/>
      <c r="W38"/>
      <c r="X38"/>
      <c r="Y38"/>
    </row>
    <row r="39" spans="1:25" ht="132.75" customHeight="1">
      <c r="A39" s="80"/>
      <c r="B39" s="57"/>
      <c r="C39" s="112"/>
      <c r="D39" s="208" t="s">
        <v>88</v>
      </c>
      <c r="E39" s="208"/>
      <c r="F39" s="135" t="s">
        <v>160</v>
      </c>
      <c r="G39" s="145" t="s">
        <v>174</v>
      </c>
      <c r="H39" s="165" t="s">
        <v>175</v>
      </c>
      <c r="I39" s="137" t="s">
        <v>176</v>
      </c>
      <c r="J39" s="165" t="s">
        <v>177</v>
      </c>
      <c r="K39" s="138" t="s">
        <v>178</v>
      </c>
      <c r="L39" s="67">
        <f>IF(F40="Yes",SUM(G40:K40),0)</f>
        <v>0</v>
      </c>
      <c r="M39" s="70" t="s">
        <v>36</v>
      </c>
      <c r="N39" s="68">
        <v>15</v>
      </c>
      <c r="O39" s="80"/>
      <c r="P39" s="58"/>
      <c r="Q39"/>
      <c r="R39"/>
      <c r="S39"/>
      <c r="T39"/>
      <c r="U39"/>
      <c r="V39"/>
      <c r="W39"/>
      <c r="X39"/>
      <c r="Y39"/>
    </row>
    <row r="40" spans="1:25" ht="24.95" customHeight="1">
      <c r="A40" s="80"/>
      <c r="B40" s="57"/>
      <c r="C40" s="112"/>
      <c r="D40" s="204" t="s">
        <v>37</v>
      </c>
      <c r="E40" s="205"/>
      <c r="F40" s="132" t="s">
        <v>38</v>
      </c>
      <c r="G40" s="134">
        <v>0</v>
      </c>
      <c r="H40" s="134">
        <v>0</v>
      </c>
      <c r="I40" s="134">
        <v>0</v>
      </c>
      <c r="J40" s="134">
        <v>0</v>
      </c>
      <c r="K40" s="133">
        <v>0</v>
      </c>
      <c r="L40" s="67"/>
      <c r="M40" s="70"/>
      <c r="N40" s="68"/>
      <c r="O40" s="80"/>
      <c r="P40" s="58"/>
      <c r="Q40"/>
      <c r="R40"/>
      <c r="S40"/>
      <c r="T40"/>
      <c r="U40"/>
      <c r="V40"/>
      <c r="W40"/>
      <c r="X40"/>
      <c r="Y40"/>
    </row>
    <row r="41" spans="1:25" ht="24.95" customHeight="1">
      <c r="A41" s="80"/>
      <c r="B41" s="59"/>
      <c r="D41" s="64"/>
      <c r="E41" s="64"/>
      <c r="F41" s="65"/>
      <c r="G41" s="65"/>
      <c r="H41" s="65"/>
      <c r="I41" s="65"/>
      <c r="J41" s="65"/>
      <c r="K41" s="192" t="s">
        <v>95</v>
      </c>
      <c r="L41" s="193">
        <f>SUM(L15:L40)</f>
        <v>0</v>
      </c>
      <c r="M41" s="194" t="s">
        <v>36</v>
      </c>
      <c r="N41" s="200">
        <f>SUM(N15:N40)</f>
        <v>100</v>
      </c>
      <c r="O41" s="80"/>
      <c r="Q41"/>
      <c r="R41"/>
      <c r="S41"/>
      <c r="T41"/>
      <c r="U41"/>
      <c r="V41"/>
      <c r="W41"/>
      <c r="X41"/>
      <c r="Y41"/>
    </row>
    <row r="42" spans="1:25" ht="24.95" customHeight="1">
      <c r="A42" s="80"/>
      <c r="B42" s="59"/>
      <c r="D42" s="64"/>
      <c r="E42" s="64"/>
      <c r="F42" s="65"/>
      <c r="G42" s="65"/>
      <c r="H42" s="65"/>
      <c r="I42" s="65"/>
      <c r="J42" s="65"/>
      <c r="K42" s="192"/>
      <c r="L42" s="193"/>
      <c r="M42" s="195"/>
      <c r="N42" s="200"/>
      <c r="O42" s="80"/>
      <c r="Q42"/>
      <c r="R42"/>
      <c r="S42"/>
      <c r="T42"/>
      <c r="U42"/>
      <c r="V42"/>
      <c r="W42"/>
      <c r="X42"/>
      <c r="Y42"/>
    </row>
    <row r="43" spans="1:25" ht="15.75" customHeight="1">
      <c r="A43" s="80"/>
      <c r="B43" s="80"/>
      <c r="C43" s="80"/>
      <c r="D43" s="80"/>
      <c r="E43" s="80"/>
      <c r="F43" s="80"/>
      <c r="G43" s="80"/>
      <c r="H43" s="80"/>
      <c r="I43" s="80"/>
      <c r="J43" s="80"/>
      <c r="K43" s="80"/>
      <c r="L43" s="80"/>
      <c r="M43" s="80"/>
      <c r="N43" s="80"/>
      <c r="O43" s="80"/>
    </row>
    <row r="44" spans="1:25" ht="30.75" customHeight="1">
      <c r="A44" s="80"/>
      <c r="B44" s="114"/>
      <c r="C44" s="272" t="s">
        <v>96</v>
      </c>
      <c r="D44" s="272"/>
      <c r="E44" s="272"/>
      <c r="F44" s="81"/>
      <c r="G44" s="81"/>
      <c r="H44" s="81"/>
      <c r="I44" s="81"/>
      <c r="J44" s="81"/>
      <c r="K44" s="81"/>
      <c r="L44" s="81"/>
      <c r="M44" s="82"/>
      <c r="N44" s="83"/>
      <c r="O44" s="80"/>
    </row>
    <row r="45" spans="1:25" ht="15.75" customHeight="1">
      <c r="A45" s="80"/>
      <c r="B45" s="104"/>
      <c r="C45" s="84" t="s">
        <v>97</v>
      </c>
      <c r="D45" s="84" t="s">
        <v>98</v>
      </c>
      <c r="E45" s="201" t="s">
        <v>99</v>
      </c>
      <c r="F45" s="201"/>
      <c r="G45" s="201"/>
      <c r="H45" s="201"/>
      <c r="I45" s="201"/>
      <c r="J45" s="85"/>
      <c r="K45" s="84"/>
      <c r="L45" s="84"/>
      <c r="M45" s="86" t="s">
        <v>100</v>
      </c>
      <c r="N45" s="83"/>
      <c r="O45" s="80"/>
    </row>
    <row r="46" spans="1:25" ht="39.75" customHeight="1">
      <c r="A46" s="80"/>
      <c r="B46" s="114"/>
      <c r="C46" s="87" t="s">
        <v>101</v>
      </c>
      <c r="D46" s="88" t="s">
        <v>102</v>
      </c>
      <c r="E46" s="197" t="s">
        <v>103</v>
      </c>
      <c r="F46" s="197"/>
      <c r="G46" s="197"/>
      <c r="H46" s="197"/>
      <c r="I46" s="197"/>
      <c r="J46" s="197"/>
      <c r="K46" s="197"/>
      <c r="L46" s="88"/>
      <c r="M46" s="89">
        <v>3</v>
      </c>
      <c r="N46" s="83"/>
      <c r="O46" s="80"/>
    </row>
    <row r="47" spans="1:25" ht="39.75" customHeight="1">
      <c r="A47" s="80"/>
      <c r="B47" s="104"/>
      <c r="C47" s="90" t="s">
        <v>101</v>
      </c>
      <c r="D47" s="88" t="s">
        <v>104</v>
      </c>
      <c r="E47" s="197" t="s">
        <v>105</v>
      </c>
      <c r="F47" s="197"/>
      <c r="G47" s="197"/>
      <c r="H47" s="197"/>
      <c r="I47" s="197"/>
      <c r="J47" s="197"/>
      <c r="K47" s="197"/>
      <c r="L47" s="88"/>
      <c r="M47" s="91">
        <v>3</v>
      </c>
      <c r="N47" s="83"/>
      <c r="O47" s="80"/>
    </row>
    <row r="48" spans="1:25" ht="39.75" customHeight="1">
      <c r="A48" s="80"/>
      <c r="B48" s="114"/>
      <c r="C48" s="87" t="s">
        <v>101</v>
      </c>
      <c r="D48" s="88" t="s">
        <v>106</v>
      </c>
      <c r="E48" s="197" t="s">
        <v>107</v>
      </c>
      <c r="F48" s="197"/>
      <c r="G48" s="197"/>
      <c r="H48" s="197"/>
      <c r="I48" s="197"/>
      <c r="J48" s="197"/>
      <c r="K48" s="197"/>
      <c r="L48" s="88"/>
      <c r="M48" s="89">
        <v>3</v>
      </c>
      <c r="N48" s="83"/>
      <c r="O48" s="80"/>
    </row>
    <row r="49" spans="1:15" ht="39.75" customHeight="1">
      <c r="A49" s="80"/>
      <c r="B49" s="104"/>
      <c r="C49" s="92" t="s">
        <v>108</v>
      </c>
      <c r="D49" s="93" t="s">
        <v>109</v>
      </c>
      <c r="E49" s="191" t="s">
        <v>179</v>
      </c>
      <c r="F49" s="191"/>
      <c r="G49" s="191"/>
      <c r="H49" s="191"/>
      <c r="I49" s="191"/>
      <c r="J49" s="191"/>
      <c r="K49" s="191"/>
      <c r="L49" s="93"/>
      <c r="M49" s="94">
        <v>3</v>
      </c>
      <c r="N49" s="83"/>
      <c r="O49" s="80"/>
    </row>
    <row r="50" spans="1:15" ht="39.75" customHeight="1">
      <c r="A50" s="80"/>
      <c r="B50" s="114"/>
      <c r="C50" s="95" t="s">
        <v>108</v>
      </c>
      <c r="D50" s="96" t="s">
        <v>111</v>
      </c>
      <c r="E50" s="198" t="s">
        <v>112</v>
      </c>
      <c r="F50" s="198"/>
      <c r="G50" s="198"/>
      <c r="H50" s="198"/>
      <c r="I50" s="198"/>
      <c r="J50" s="198"/>
      <c r="K50" s="198"/>
      <c r="L50" s="96"/>
      <c r="M50" s="97">
        <v>3</v>
      </c>
      <c r="N50" s="83"/>
      <c r="O50" s="80"/>
    </row>
    <row r="51" spans="1:15" ht="39.75" customHeight="1">
      <c r="A51" s="80"/>
      <c r="B51" s="115"/>
      <c r="C51" s="98" t="s">
        <v>113</v>
      </c>
      <c r="D51" s="93" t="s">
        <v>114</v>
      </c>
      <c r="E51" s="191" t="s">
        <v>115</v>
      </c>
      <c r="F51" s="191"/>
      <c r="G51" s="191"/>
      <c r="H51" s="191"/>
      <c r="I51" s="191"/>
      <c r="J51" s="191"/>
      <c r="K51" s="191"/>
      <c r="L51" s="93"/>
      <c r="M51" s="99">
        <v>3</v>
      </c>
      <c r="N51" s="100"/>
      <c r="O51" s="80"/>
    </row>
    <row r="52" spans="1:15" ht="39.75" customHeight="1">
      <c r="A52" s="80"/>
      <c r="B52" s="104"/>
      <c r="C52" s="101" t="s">
        <v>116</v>
      </c>
      <c r="D52" s="96" t="s">
        <v>117</v>
      </c>
      <c r="E52" s="198" t="s">
        <v>180</v>
      </c>
      <c r="F52" s="198"/>
      <c r="G52" s="198"/>
      <c r="H52" s="198"/>
      <c r="I52" s="198"/>
      <c r="J52" s="198"/>
      <c r="K52" s="198"/>
      <c r="L52" s="96"/>
      <c r="M52" s="102">
        <v>3</v>
      </c>
      <c r="N52" s="83"/>
      <c r="O52" s="80"/>
    </row>
    <row r="53" spans="1:15" ht="39.75" customHeight="1">
      <c r="A53" s="80"/>
      <c r="B53" s="104"/>
      <c r="C53" s="92" t="s">
        <v>119</v>
      </c>
      <c r="D53" s="93" t="s">
        <v>119</v>
      </c>
      <c r="E53" s="191" t="s">
        <v>181</v>
      </c>
      <c r="F53" s="191"/>
      <c r="G53" s="191"/>
      <c r="H53" s="191"/>
      <c r="I53" s="191"/>
      <c r="J53" s="191"/>
      <c r="K53" s="191"/>
      <c r="L53" s="93"/>
      <c r="M53" s="94">
        <v>3</v>
      </c>
      <c r="N53" s="83"/>
      <c r="O53" s="80"/>
    </row>
    <row r="54" spans="1:15" ht="39.75" customHeight="1">
      <c r="A54" s="80"/>
      <c r="B54" s="104"/>
      <c r="C54" s="95" t="s">
        <v>119</v>
      </c>
      <c r="D54" s="96" t="s">
        <v>121</v>
      </c>
      <c r="E54" s="198" t="s">
        <v>182</v>
      </c>
      <c r="F54" s="198"/>
      <c r="G54" s="198"/>
      <c r="H54" s="198"/>
      <c r="I54" s="198"/>
      <c r="J54" s="198"/>
      <c r="K54" s="198"/>
      <c r="L54" s="96"/>
      <c r="M54" s="97">
        <v>3</v>
      </c>
      <c r="N54" s="83"/>
      <c r="O54" s="80"/>
    </row>
    <row r="55" spans="1:15" ht="39.75" customHeight="1">
      <c r="A55" s="80"/>
      <c r="B55" s="116"/>
      <c r="C55" s="98" t="s">
        <v>123</v>
      </c>
      <c r="D55" s="93" t="s">
        <v>124</v>
      </c>
      <c r="E55" s="191" t="s">
        <v>125</v>
      </c>
      <c r="F55" s="191"/>
      <c r="G55" s="191"/>
      <c r="H55" s="191"/>
      <c r="I55" s="191"/>
      <c r="J55" s="191"/>
      <c r="K55" s="191"/>
      <c r="L55" s="93"/>
      <c r="M55" s="99">
        <v>3</v>
      </c>
      <c r="N55" s="103"/>
      <c r="O55" s="80"/>
    </row>
    <row r="56" spans="1:15" ht="39.75" customHeight="1">
      <c r="A56" s="80"/>
      <c r="B56" s="114"/>
      <c r="C56" s="101" t="s">
        <v>123</v>
      </c>
      <c r="D56" s="96" t="s">
        <v>126</v>
      </c>
      <c r="E56" s="198" t="s">
        <v>183</v>
      </c>
      <c r="F56" s="198"/>
      <c r="G56" s="198"/>
      <c r="H56" s="198"/>
      <c r="I56" s="198"/>
      <c r="J56" s="198"/>
      <c r="K56" s="198"/>
      <c r="L56" s="96"/>
      <c r="M56" s="102">
        <v>3</v>
      </c>
      <c r="N56" s="83"/>
      <c r="O56" s="80"/>
    </row>
    <row r="57" spans="1:15" ht="15.75" customHeight="1">
      <c r="A57" s="80"/>
      <c r="B57" s="104"/>
      <c r="C57" s="104"/>
      <c r="D57" s="81"/>
      <c r="E57" s="81"/>
      <c r="F57" s="81"/>
      <c r="G57" s="81"/>
      <c r="H57" s="81"/>
      <c r="I57" s="81"/>
      <c r="J57" s="81"/>
      <c r="K57" s="81"/>
      <c r="L57" s="81"/>
      <c r="M57" s="81"/>
      <c r="N57" s="81"/>
      <c r="O57" s="80"/>
    </row>
    <row r="58" spans="1:15" ht="15.75" customHeight="1">
      <c r="A58" s="80"/>
      <c r="B58" s="80"/>
      <c r="C58" s="80"/>
      <c r="D58" s="80"/>
      <c r="E58" s="80"/>
      <c r="F58" s="80"/>
      <c r="G58" s="80"/>
      <c r="H58" s="80"/>
      <c r="I58" s="80"/>
      <c r="J58" s="80"/>
      <c r="K58" s="80"/>
      <c r="L58" s="80"/>
      <c r="M58" s="80"/>
      <c r="N58" s="80"/>
      <c r="O58" s="80"/>
    </row>
    <row r="59" spans="1:15" ht="24" customHeight="1">
      <c r="A59" s="80"/>
      <c r="B59" s="117" t="s">
        <v>128</v>
      </c>
      <c r="C59" s="272" t="s">
        <v>129</v>
      </c>
      <c r="D59" s="272"/>
      <c r="E59" s="272"/>
      <c r="F59" s="105" t="s">
        <v>128</v>
      </c>
      <c r="G59" s="104" t="s">
        <v>128</v>
      </c>
      <c r="H59" s="104" t="s">
        <v>128</v>
      </c>
      <c r="I59" s="104" t="s">
        <v>128</v>
      </c>
      <c r="J59" s="104" t="s">
        <v>128</v>
      </c>
      <c r="K59" s="104" t="s">
        <v>128</v>
      </c>
      <c r="L59" s="104"/>
      <c r="M59" s="104" t="s">
        <v>128</v>
      </c>
      <c r="N59" s="104" t="s">
        <v>128</v>
      </c>
      <c r="O59" s="80"/>
    </row>
    <row r="60" spans="1:15" ht="15.75" customHeight="1">
      <c r="A60" s="80"/>
      <c r="B60" s="117" t="s">
        <v>128</v>
      </c>
      <c r="C60" s="106" t="s">
        <v>130</v>
      </c>
      <c r="D60" s="106" t="s">
        <v>131</v>
      </c>
      <c r="E60" s="199" t="s">
        <v>132</v>
      </c>
      <c r="F60" s="199"/>
      <c r="G60" s="199"/>
      <c r="H60" s="199"/>
      <c r="I60" s="107" t="s">
        <v>133</v>
      </c>
      <c r="J60" s="106"/>
      <c r="K60" s="106"/>
      <c r="L60" s="106"/>
      <c r="M60" s="106"/>
      <c r="N60" s="104" t="s">
        <v>128</v>
      </c>
      <c r="O60" s="80"/>
    </row>
    <row r="61" spans="1:15" ht="48.75" customHeight="1">
      <c r="A61" s="80"/>
      <c r="B61" s="104" t="s">
        <v>128</v>
      </c>
      <c r="C61" s="108">
        <v>1</v>
      </c>
      <c r="D61" s="109" t="s">
        <v>134</v>
      </c>
      <c r="E61" s="186" t="s">
        <v>135</v>
      </c>
      <c r="F61" s="186"/>
      <c r="G61" s="186"/>
      <c r="H61" s="186"/>
      <c r="I61" s="187" t="s">
        <v>136</v>
      </c>
      <c r="J61" s="187"/>
      <c r="K61" s="187"/>
      <c r="L61" s="187"/>
      <c r="M61" s="187"/>
      <c r="N61" s="104" t="s">
        <v>128</v>
      </c>
      <c r="O61" s="80"/>
    </row>
    <row r="62" spans="1:15" ht="47.25" customHeight="1">
      <c r="A62" s="80"/>
      <c r="B62" s="104" t="s">
        <v>128</v>
      </c>
      <c r="C62" s="110">
        <v>2</v>
      </c>
      <c r="D62" s="111" t="s">
        <v>137</v>
      </c>
      <c r="E62" s="184" t="s">
        <v>138</v>
      </c>
      <c r="F62" s="184"/>
      <c r="G62" s="184"/>
      <c r="H62" s="184"/>
      <c r="I62" s="185" t="s">
        <v>139</v>
      </c>
      <c r="J62" s="185"/>
      <c r="K62" s="185"/>
      <c r="L62" s="185"/>
      <c r="M62" s="185"/>
      <c r="N62" s="104" t="s">
        <v>128</v>
      </c>
      <c r="O62" s="80"/>
    </row>
    <row r="63" spans="1:15" ht="42" customHeight="1">
      <c r="A63" s="80"/>
      <c r="B63" s="104" t="s">
        <v>128</v>
      </c>
      <c r="C63" s="108">
        <v>3</v>
      </c>
      <c r="D63" s="109" t="s">
        <v>140</v>
      </c>
      <c r="E63" s="186" t="s">
        <v>141</v>
      </c>
      <c r="F63" s="186"/>
      <c r="G63" s="186"/>
      <c r="H63" s="186"/>
      <c r="I63" s="187" t="s">
        <v>142</v>
      </c>
      <c r="J63" s="187"/>
      <c r="K63" s="187"/>
      <c r="L63" s="187"/>
      <c r="M63" s="187"/>
      <c r="N63" s="104" t="s">
        <v>128</v>
      </c>
      <c r="O63" s="80"/>
    </row>
    <row r="64" spans="1:15" ht="42" customHeight="1">
      <c r="A64" s="80"/>
      <c r="B64" s="104" t="s">
        <v>128</v>
      </c>
      <c r="C64" s="110">
        <v>4</v>
      </c>
      <c r="D64" s="111" t="s">
        <v>143</v>
      </c>
      <c r="E64" s="184" t="s">
        <v>144</v>
      </c>
      <c r="F64" s="184"/>
      <c r="G64" s="184"/>
      <c r="H64" s="184"/>
      <c r="I64" s="185" t="s">
        <v>145</v>
      </c>
      <c r="J64" s="185"/>
      <c r="K64" s="185"/>
      <c r="L64" s="185"/>
      <c r="M64" s="185"/>
      <c r="N64" s="104" t="s">
        <v>128</v>
      </c>
      <c r="O64" s="80"/>
    </row>
    <row r="65" spans="1:15" ht="36" customHeight="1">
      <c r="A65" s="80"/>
      <c r="B65" s="104" t="s">
        <v>128</v>
      </c>
      <c r="C65" s="108">
        <v>5</v>
      </c>
      <c r="D65" s="109" t="s">
        <v>146</v>
      </c>
      <c r="E65" s="186" t="s">
        <v>147</v>
      </c>
      <c r="F65" s="186"/>
      <c r="G65" s="186"/>
      <c r="H65" s="186"/>
      <c r="I65" s="187" t="s">
        <v>148</v>
      </c>
      <c r="J65" s="187"/>
      <c r="K65" s="187"/>
      <c r="L65" s="187"/>
      <c r="M65" s="187"/>
      <c r="N65" s="104" t="s">
        <v>128</v>
      </c>
      <c r="O65" s="80"/>
    </row>
    <row r="66" spans="1:15" ht="15.75" customHeight="1">
      <c r="A66" s="80"/>
      <c r="B66" s="104" t="s">
        <v>128</v>
      </c>
      <c r="C66" s="104" t="s">
        <v>128</v>
      </c>
      <c r="D66" s="104" t="s">
        <v>128</v>
      </c>
      <c r="E66" s="104" t="s">
        <v>128</v>
      </c>
      <c r="F66" s="104" t="s">
        <v>128</v>
      </c>
      <c r="G66" s="104" t="s">
        <v>128</v>
      </c>
      <c r="H66" s="104" t="s">
        <v>128</v>
      </c>
      <c r="I66" s="104" t="s">
        <v>128</v>
      </c>
      <c r="J66" s="104" t="s">
        <v>128</v>
      </c>
      <c r="K66" s="104" t="s">
        <v>128</v>
      </c>
      <c r="L66" s="104"/>
      <c r="M66" s="104" t="s">
        <v>128</v>
      </c>
      <c r="N66" s="104" t="s">
        <v>128</v>
      </c>
      <c r="O66" s="80"/>
    </row>
    <row r="67" spans="1:15" ht="15.75" customHeight="1">
      <c r="A67" s="80"/>
      <c r="B67" s="44"/>
      <c r="C67" s="44"/>
      <c r="D67" s="44"/>
      <c r="E67" s="44"/>
      <c r="F67" s="44"/>
      <c r="G67" s="44"/>
      <c r="H67" s="44"/>
      <c r="I67" s="44"/>
      <c r="J67" s="44"/>
      <c r="K67" s="44"/>
      <c r="L67" s="44"/>
      <c r="M67" s="44"/>
      <c r="N67" s="44"/>
      <c r="O67" s="80"/>
    </row>
    <row r="68" spans="1:15" ht="15.75" customHeight="1"/>
    <row r="69" spans="1:15" ht="15.75" customHeight="1"/>
    <row r="70" spans="1:15" ht="15.75" customHeight="1"/>
    <row r="71" spans="1:15" ht="15.75" customHeight="1"/>
    <row r="72" spans="1:15" ht="15.75" customHeight="1"/>
    <row r="73" spans="1:15" ht="15.75" customHeight="1"/>
    <row r="74" spans="1:15" ht="15.75" customHeight="1"/>
    <row r="75" spans="1:15" ht="15.75" customHeight="1"/>
    <row r="76" spans="1:15" ht="15.75" customHeight="1"/>
    <row r="77" spans="1:15" ht="15.75" customHeight="1"/>
    <row r="78" spans="1:15" ht="15.75" customHeight="1"/>
    <row r="79" spans="1:15" ht="15.75" customHeight="1"/>
    <row r="80" spans="1:15"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sheetData>
  <protectedRanges>
    <protectedRange algorithmName="SHA-512" hashValue="NcQe0VjxFnxU9SziGkmWOoYUYoQ0T62vv+WqFE1sowJD2+jDiq1RKEMS6wObDPCk433k/JG1CTU3j62rwNOzdg==" saltValue="OlYFZTFPx5QDCqKlqXj8fw==" spinCount="100000" sqref="Q21:V21" name="Range1_2_1_7_3"/>
    <protectedRange algorithmName="SHA-512" hashValue="NcQe0VjxFnxU9SziGkmWOoYUYoQ0T62vv+WqFE1sowJD2+jDiq1RKEMS6wObDPCk433k/JG1CTU3j62rwNOzdg==" saltValue="OlYFZTFPx5QDCqKlqXj8fw==" spinCount="100000" sqref="G39" name="Range1_2_1_7"/>
  </protectedRanges>
  <mergeCells count="80">
    <mergeCell ref="E54:K54"/>
    <mergeCell ref="D21:K21"/>
    <mergeCell ref="D23:E23"/>
    <mergeCell ref="D24:E24"/>
    <mergeCell ref="G24:H24"/>
    <mergeCell ref="E46:K46"/>
    <mergeCell ref="E47:K47"/>
    <mergeCell ref="E48:K48"/>
    <mergeCell ref="E49:K49"/>
    <mergeCell ref="E50:K50"/>
    <mergeCell ref="E45:I45"/>
    <mergeCell ref="D22:E22"/>
    <mergeCell ref="G27:I27"/>
    <mergeCell ref="G26:I26"/>
    <mergeCell ref="D17:K17"/>
    <mergeCell ref="D18:E18"/>
    <mergeCell ref="D19:E19"/>
    <mergeCell ref="E52:K52"/>
    <mergeCell ref="E53:K53"/>
    <mergeCell ref="N3:N7"/>
    <mergeCell ref="C10:M10"/>
    <mergeCell ref="G11:K11"/>
    <mergeCell ref="D16:E16"/>
    <mergeCell ref="D15:E15"/>
    <mergeCell ref="D14:E14"/>
    <mergeCell ref="C2:D2"/>
    <mergeCell ref="M3:M7"/>
    <mergeCell ref="F2:K2"/>
    <mergeCell ref="M15:M16"/>
    <mergeCell ref="L3:L7"/>
    <mergeCell ref="C3:D3"/>
    <mergeCell ref="C4:D4"/>
    <mergeCell ref="C5:D5"/>
    <mergeCell ref="C6:D6"/>
    <mergeCell ref="D13:K13"/>
    <mergeCell ref="C7:D7"/>
    <mergeCell ref="F3:K7"/>
    <mergeCell ref="E63:H63"/>
    <mergeCell ref="I63:M63"/>
    <mergeCell ref="E64:H64"/>
    <mergeCell ref="I64:M64"/>
    <mergeCell ref="D25:K25"/>
    <mergeCell ref="D27:E27"/>
    <mergeCell ref="D31:E31"/>
    <mergeCell ref="D29:K29"/>
    <mergeCell ref="E62:H62"/>
    <mergeCell ref="E55:K55"/>
    <mergeCell ref="E56:K56"/>
    <mergeCell ref="E60:H60"/>
    <mergeCell ref="E61:H61"/>
    <mergeCell ref="I61:M61"/>
    <mergeCell ref="C59:E59"/>
    <mergeCell ref="E51:K51"/>
    <mergeCell ref="E65:H65"/>
    <mergeCell ref="I65:M65"/>
    <mergeCell ref="C44:E44"/>
    <mergeCell ref="D32:E32"/>
    <mergeCell ref="D36:E36"/>
    <mergeCell ref="D40:E40"/>
    <mergeCell ref="D37:K37"/>
    <mergeCell ref="D35:E35"/>
    <mergeCell ref="D39:E39"/>
    <mergeCell ref="D33:K33"/>
    <mergeCell ref="D34:E34"/>
    <mergeCell ref="D38:E38"/>
    <mergeCell ref="K41:K42"/>
    <mergeCell ref="L41:L42"/>
    <mergeCell ref="M41:M42"/>
    <mergeCell ref="I62:M62"/>
    <mergeCell ref="N41:N42"/>
    <mergeCell ref="D28:E28"/>
    <mergeCell ref="D26:E26"/>
    <mergeCell ref="D30:E30"/>
    <mergeCell ref="D20:E20"/>
    <mergeCell ref="G22:H22"/>
    <mergeCell ref="G23:H23"/>
    <mergeCell ref="J26:K26"/>
    <mergeCell ref="J27:K27"/>
    <mergeCell ref="G28:I28"/>
    <mergeCell ref="J28:K28"/>
  </mergeCells>
  <conditionalFormatting sqref="L15 L27">
    <cfRule type="cellIs" dxfId="41" priority="68" operator="equal">
      <formula>"POOR"</formula>
    </cfRule>
    <cfRule type="cellIs" dxfId="40" priority="67" operator="equal">
      <formula>"MISSING"</formula>
    </cfRule>
    <cfRule type="cellIs" dxfId="39" priority="66" operator="equal">
      <formula>"INSUFFICIENT"</formula>
    </cfRule>
    <cfRule type="cellIs" dxfId="38" priority="65" operator="equal">
      <formula>"SUFFICIENT"</formula>
    </cfRule>
    <cfRule type="cellIs" dxfId="37" priority="64" operator="equal">
      <formula>"GOOD"</formula>
    </cfRule>
    <cfRule type="cellIs" dxfId="36" priority="63" operator="equal">
      <formula>"EXCELLENT"</formula>
    </cfRule>
  </conditionalFormatting>
  <conditionalFormatting sqref="L19">
    <cfRule type="cellIs" dxfId="35" priority="8" operator="equal">
      <formula>"EXCELLENT"</formula>
    </cfRule>
    <cfRule type="cellIs" dxfId="34" priority="9" operator="equal">
      <formula>"GOOD"</formula>
    </cfRule>
    <cfRule type="cellIs" dxfId="33" priority="10" operator="equal">
      <formula>"SUFFICIENT"</formula>
    </cfRule>
    <cfRule type="cellIs" dxfId="32" priority="11" operator="equal">
      <formula>"INSUFFICIENT"</formula>
    </cfRule>
    <cfRule type="cellIs" dxfId="31" priority="12" operator="equal">
      <formula>"MISSING"</formula>
    </cfRule>
    <cfRule type="cellIs" dxfId="30" priority="13" operator="equal">
      <formula>"POOR"</formula>
    </cfRule>
  </conditionalFormatting>
  <conditionalFormatting sqref="L23">
    <cfRule type="cellIs" dxfId="29" priority="2" operator="equal">
      <formula>"EXCELLENT"</formula>
    </cfRule>
    <cfRule type="cellIs" dxfId="28" priority="3" operator="equal">
      <formula>"GOOD"</formula>
    </cfRule>
    <cfRule type="cellIs" dxfId="27" priority="4" operator="equal">
      <formula>"SUFFICIENT"</formula>
    </cfRule>
    <cfRule type="cellIs" dxfId="26" priority="5" operator="equal">
      <formula>"INSUFFICIENT"</formula>
    </cfRule>
    <cfRule type="cellIs" dxfId="25" priority="6" operator="equal">
      <formula>"MISSING"</formula>
    </cfRule>
    <cfRule type="cellIs" dxfId="24" priority="7" operator="equal">
      <formula>"POOR"</formula>
    </cfRule>
  </conditionalFormatting>
  <conditionalFormatting sqref="L31">
    <cfRule type="cellIs" dxfId="23" priority="42" operator="equal">
      <formula>"EXCELLENT"</formula>
    </cfRule>
    <cfRule type="cellIs" dxfId="22" priority="47" operator="equal">
      <formula>"POOR"</formula>
    </cfRule>
    <cfRule type="cellIs" dxfId="21" priority="46" operator="equal">
      <formula>"MISSING"</formula>
    </cfRule>
    <cfRule type="cellIs" dxfId="20" priority="45" operator="equal">
      <formula>"INSUFFICIENT"</formula>
    </cfRule>
    <cfRule type="cellIs" dxfId="19" priority="44" operator="equal">
      <formula>"SUFFICIENT"</formula>
    </cfRule>
    <cfRule type="cellIs" dxfId="18" priority="43" operator="equal">
      <formula>"GOOD"</formula>
    </cfRule>
  </conditionalFormatting>
  <conditionalFormatting sqref="L35">
    <cfRule type="cellIs" dxfId="17" priority="36" operator="equal">
      <formula>"EXCELLENT"</formula>
    </cfRule>
    <cfRule type="cellIs" dxfId="16" priority="40" operator="equal">
      <formula>"MISSING"</formula>
    </cfRule>
    <cfRule type="cellIs" dxfId="15" priority="41" operator="equal">
      <formula>"POOR"</formula>
    </cfRule>
    <cfRule type="cellIs" dxfId="14" priority="39" operator="equal">
      <formula>"INSUFFICIENT"</formula>
    </cfRule>
    <cfRule type="cellIs" dxfId="13" priority="38" operator="equal">
      <formula>"SUFFICIENT"</formula>
    </cfRule>
    <cfRule type="cellIs" dxfId="12" priority="37" operator="equal">
      <formula>"GOOD"</formula>
    </cfRule>
  </conditionalFormatting>
  <conditionalFormatting sqref="L39">
    <cfRule type="cellIs" dxfId="11" priority="35" operator="equal">
      <formula>"POOR"</formula>
    </cfRule>
    <cfRule type="cellIs" dxfId="10" priority="34" operator="equal">
      <formula>"MISSING"</formula>
    </cfRule>
    <cfRule type="cellIs" dxfId="9" priority="33" operator="equal">
      <formula>"INSUFFICIENT"</formula>
    </cfRule>
    <cfRule type="cellIs" dxfId="8" priority="32" operator="equal">
      <formula>"SUFFICIENT"</formula>
    </cfRule>
    <cfRule type="cellIs" dxfId="7" priority="31" operator="equal">
      <formula>"GOOD"</formula>
    </cfRule>
    <cfRule type="cellIs" dxfId="6" priority="30" operator="equal">
      <formula>"EXCELLENT"</formula>
    </cfRule>
  </conditionalFormatting>
  <conditionalFormatting sqref="M3">
    <cfRule type="containsText" dxfId="5" priority="60" operator="containsText" text="FAIL">
      <formula>NOT(ISERROR(SEARCH(("FAIL"),(M3))))</formula>
    </cfRule>
    <cfRule type="cellIs" dxfId="4" priority="61" operator="equal">
      <formula>"PASS"</formula>
    </cfRule>
    <cfRule type="cellIs" dxfId="3" priority="62" operator="equal">
      <formula>"M/O"</formula>
    </cfRule>
  </conditionalFormatting>
  <conditionalFormatting sqref="N3:N7">
    <cfRule type="expression" dxfId="2" priority="14" stopIfTrue="1">
      <formula>$L$3&gt;5.5</formula>
    </cfRule>
    <cfRule type="expression" dxfId="1" priority="16" stopIfTrue="1">
      <formula>$L$3=0</formula>
    </cfRule>
    <cfRule type="expression" dxfId="0" priority="15" stopIfTrue="1">
      <formula>($L$3&lt;5.5) &amp; ($L$3&gt;0)</formula>
    </cfRule>
  </conditionalFormatting>
  <dataValidations count="7">
    <dataValidation type="list" allowBlank="1" showInputMessage="1" showErrorMessage="1" sqref="F36 F28 F32 F40 F24 F16 F20" xr:uid="{14B35E3B-81CC-CB4A-95B5-B70395F53423}">
      <formula1>"Yes,No"</formula1>
    </dataValidation>
    <dataValidation type="list" allowBlank="1" showInputMessage="1" showErrorMessage="1" sqref="I24:K24 J32:K32" xr:uid="{E3959B74-88BC-9141-B9E9-89DAAC3F2A96}">
      <formula1>"0,1,2"</formula1>
    </dataValidation>
    <dataValidation type="list" allowBlank="1" showInputMessage="1" showErrorMessage="1" sqref="G32:H32 G40:K40" xr:uid="{CEFE049B-AC60-A643-953D-CFAD159C4A72}">
      <formula1>"0,1,2,3"</formula1>
    </dataValidation>
    <dataValidation type="list" allowBlank="1" showInputMessage="1" showErrorMessage="1" sqref="G16:K16" xr:uid="{DBE928FA-5FE8-3448-A816-DA79C5303277}">
      <formula1>"0,1,2,3,4,5,6,7,8,9,10"</formula1>
    </dataValidation>
    <dataValidation type="list" allowBlank="1" showInputMessage="1" showErrorMessage="1" sqref="I32 G28:K28 G36:K36" xr:uid="{9F79515A-BFE5-48CD-9207-1F52633DADEB}">
      <formula1>"0,1,2,3,4,5"</formula1>
    </dataValidation>
    <dataValidation type="list" allowBlank="1" showInputMessage="1" showErrorMessage="1" sqref="G24:H24" xr:uid="{2DCE2458-D06B-44CF-B46B-5EE730CB9D6C}">
      <formula1>"0,1,2,3,4"</formula1>
    </dataValidation>
    <dataValidation type="list" allowBlank="1" showInputMessage="1" showErrorMessage="1" sqref="G20:K20" xr:uid="{10FCBE3E-EFDC-44BF-9321-98742D3A827C}">
      <formula1>"0,1,2,3,4,5,6,7,8,9,10,11,12,13,14,15"</formula1>
    </dataValidation>
  </dataValidations>
  <printOptions horizontalCentered="1" gridLines="1"/>
  <pageMargins left="0.25" right="0.25" top="0.75" bottom="0.75" header="0" footer="0"/>
  <pageSetup paperSize="9" pageOrder="overThenDown" orientation="portrait" cellComments="atEnd"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B1E53-A545-453F-B7B9-0A7D0122D722}">
  <dimension ref="B1:F10"/>
  <sheetViews>
    <sheetView workbookViewId="0">
      <selection activeCell="F8" sqref="F8"/>
    </sheetView>
  </sheetViews>
  <sheetFormatPr defaultColWidth="8.85546875" defaultRowHeight="12.95"/>
  <cols>
    <col min="3" max="3" width="69.7109375" customWidth="1"/>
    <col min="4" max="4" width="28.28515625" customWidth="1"/>
    <col min="6" max="6" width="26" customWidth="1"/>
  </cols>
  <sheetData>
    <row r="1" spans="2:6">
      <c r="B1" s="260" t="s">
        <v>184</v>
      </c>
      <c r="C1" s="260"/>
      <c r="D1" s="260"/>
      <c r="E1" s="260"/>
      <c r="F1" s="260"/>
    </row>
    <row r="2" spans="2:6">
      <c r="B2" s="260"/>
      <c r="C2" s="260"/>
      <c r="D2" s="260"/>
      <c r="E2" s="260"/>
      <c r="F2" s="260"/>
    </row>
    <row r="3" spans="2:6" ht="27">
      <c r="B3" s="180" t="s">
        <v>185</v>
      </c>
      <c r="C3" s="171" t="s">
        <v>186</v>
      </c>
      <c r="D3" s="182" t="s">
        <v>187</v>
      </c>
      <c r="E3" s="181"/>
      <c r="F3" s="183" t="s">
        <v>188</v>
      </c>
    </row>
    <row r="4" spans="2:6" ht="20.100000000000001">
      <c r="B4" s="180">
        <v>0</v>
      </c>
      <c r="C4" s="172" t="s">
        <v>189</v>
      </c>
      <c r="D4" s="173">
        <v>0.15</v>
      </c>
      <c r="F4" s="173">
        <v>0.15</v>
      </c>
    </row>
    <row r="5" spans="2:6" ht="20.100000000000001">
      <c r="B5" s="180">
        <v>1</v>
      </c>
      <c r="C5" s="172" t="s">
        <v>190</v>
      </c>
      <c r="D5" s="173">
        <v>0.1</v>
      </c>
      <c r="F5" s="173">
        <v>0.1</v>
      </c>
    </row>
    <row r="6" spans="2:6" ht="20.100000000000001">
      <c r="B6" s="180">
        <v>2</v>
      </c>
      <c r="C6" s="172" t="s">
        <v>191</v>
      </c>
      <c r="D6" s="173">
        <v>0.1</v>
      </c>
      <c r="F6" s="173">
        <v>0.1</v>
      </c>
    </row>
    <row r="7" spans="2:6" ht="20.100000000000001">
      <c r="B7" s="180">
        <v>6</v>
      </c>
      <c r="C7" s="172" t="s">
        <v>192</v>
      </c>
      <c r="D7" s="173">
        <v>0.1</v>
      </c>
      <c r="F7" s="173">
        <v>0.1</v>
      </c>
    </row>
    <row r="8" spans="2:6" ht="20.100000000000001">
      <c r="B8" s="180">
        <v>8</v>
      </c>
      <c r="C8" s="172" t="s">
        <v>193</v>
      </c>
      <c r="D8" s="174">
        <v>0.15</v>
      </c>
      <c r="F8" s="174">
        <v>0.2</v>
      </c>
    </row>
    <row r="9" spans="2:6" ht="20.100000000000001">
      <c r="B9" s="180">
        <v>8</v>
      </c>
      <c r="C9" s="172" t="s">
        <v>194</v>
      </c>
      <c r="D9" s="174">
        <v>0.15</v>
      </c>
      <c r="F9" s="174">
        <v>0.2</v>
      </c>
    </row>
    <row r="10" spans="2:6" ht="20.100000000000001">
      <c r="B10" s="180">
        <v>11</v>
      </c>
      <c r="C10" s="172" t="s">
        <v>195</v>
      </c>
      <c r="D10" s="173">
        <v>0.15</v>
      </c>
      <c r="F10" s="173">
        <v>0.15</v>
      </c>
    </row>
  </sheetData>
  <mergeCells count="1">
    <mergeCell ref="B1:F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4355B-7FF1-4091-B210-DC311C3655BB}">
  <dimension ref="C6:Z38"/>
  <sheetViews>
    <sheetView workbookViewId="0">
      <selection activeCell="W20" sqref="W20"/>
    </sheetView>
  </sheetViews>
  <sheetFormatPr defaultColWidth="8.85546875" defaultRowHeight="12.95"/>
  <sheetData>
    <row r="6" spans="3:26" ht="15.95">
      <c r="C6" s="146" t="s">
        <v>196</v>
      </c>
      <c r="D6" s="273" t="s">
        <v>185</v>
      </c>
      <c r="E6" s="274"/>
      <c r="F6" s="274"/>
      <c r="G6" s="274"/>
      <c r="H6" s="274"/>
      <c r="I6" s="274"/>
      <c r="J6" s="274"/>
      <c r="K6" s="274"/>
      <c r="L6" s="274"/>
      <c r="M6" s="274"/>
      <c r="N6" s="274"/>
      <c r="O6" s="275"/>
    </row>
    <row r="7" spans="3:26" ht="15.95">
      <c r="C7" s="146" t="s">
        <v>128</v>
      </c>
      <c r="D7" s="147">
        <v>1</v>
      </c>
      <c r="E7" s="147">
        <v>2</v>
      </c>
      <c r="F7" s="147">
        <v>3</v>
      </c>
      <c r="G7" s="148">
        <v>4</v>
      </c>
      <c r="H7" s="147">
        <v>5</v>
      </c>
      <c r="I7" s="147">
        <v>6</v>
      </c>
      <c r="J7" s="147">
        <v>7</v>
      </c>
      <c r="K7" s="147">
        <v>8</v>
      </c>
      <c r="L7" s="147">
        <v>9</v>
      </c>
      <c r="M7" s="147">
        <v>10</v>
      </c>
      <c r="N7" s="147">
        <v>11</v>
      </c>
      <c r="O7" s="147">
        <v>0</v>
      </c>
    </row>
    <row r="8" spans="3:26" ht="15.95">
      <c r="C8" s="146" t="s">
        <v>197</v>
      </c>
      <c r="D8" s="147">
        <v>10</v>
      </c>
      <c r="E8" s="147">
        <v>10</v>
      </c>
      <c r="F8" s="147">
        <v>15</v>
      </c>
      <c r="G8" s="147">
        <v>15</v>
      </c>
      <c r="H8" s="147"/>
      <c r="I8" s="147" t="s">
        <v>128</v>
      </c>
      <c r="J8" s="147"/>
      <c r="K8" s="147" t="s">
        <v>128</v>
      </c>
      <c r="L8" s="147" t="s">
        <v>128</v>
      </c>
      <c r="M8" s="147">
        <v>20</v>
      </c>
      <c r="N8" s="147" t="s">
        <v>128</v>
      </c>
      <c r="O8" s="147">
        <v>30</v>
      </c>
      <c r="P8">
        <f t="shared" ref="P8:P18" si="0">SUM(D8:O8)</f>
        <v>100</v>
      </c>
      <c r="R8" t="s">
        <v>198</v>
      </c>
    </row>
    <row r="9" spans="3:26" ht="15.95">
      <c r="C9" s="155" t="s">
        <v>199</v>
      </c>
      <c r="D9" s="156">
        <v>10</v>
      </c>
      <c r="E9" s="156">
        <v>10</v>
      </c>
      <c r="F9" s="157"/>
      <c r="G9" s="156" t="s">
        <v>128</v>
      </c>
      <c r="H9" s="156" t="s">
        <v>128</v>
      </c>
      <c r="I9" s="156">
        <v>15</v>
      </c>
      <c r="J9" s="156"/>
      <c r="K9" s="156">
        <v>25</v>
      </c>
      <c r="L9" s="156" t="s">
        <v>128</v>
      </c>
      <c r="M9" s="156" t="s">
        <v>128</v>
      </c>
      <c r="N9" s="156">
        <v>15</v>
      </c>
      <c r="O9" s="156">
        <v>25</v>
      </c>
      <c r="P9">
        <f t="shared" si="0"/>
        <v>100</v>
      </c>
      <c r="R9" s="159" t="s">
        <v>200</v>
      </c>
      <c r="S9" s="159"/>
      <c r="T9" s="159"/>
      <c r="U9" s="159"/>
      <c r="V9" s="159"/>
      <c r="W9" s="159"/>
      <c r="X9" s="159"/>
      <c r="Y9" s="159"/>
      <c r="Z9" s="159"/>
    </row>
    <row r="10" spans="3:26" ht="15.95">
      <c r="C10" s="146" t="s">
        <v>201</v>
      </c>
      <c r="D10" s="147">
        <v>10</v>
      </c>
      <c r="E10" s="147">
        <v>10</v>
      </c>
      <c r="F10" s="147">
        <v>15</v>
      </c>
      <c r="G10" s="147">
        <v>10</v>
      </c>
      <c r="H10" s="147" t="s">
        <v>128</v>
      </c>
      <c r="I10" s="147">
        <v>10</v>
      </c>
      <c r="J10" s="147" t="s">
        <v>128</v>
      </c>
      <c r="K10" s="147">
        <v>30</v>
      </c>
      <c r="L10" s="147">
        <v>15</v>
      </c>
      <c r="M10" s="147" t="s">
        <v>128</v>
      </c>
      <c r="N10" s="147" t="s">
        <v>128</v>
      </c>
      <c r="O10" s="147" t="s">
        <v>128</v>
      </c>
      <c r="P10">
        <f t="shared" si="0"/>
        <v>100</v>
      </c>
      <c r="R10" s="149" t="s">
        <v>202</v>
      </c>
    </row>
    <row r="11" spans="3:26" ht="15.95">
      <c r="C11" s="146" t="s">
        <v>203</v>
      </c>
      <c r="D11" s="147">
        <v>20</v>
      </c>
      <c r="E11" s="147">
        <v>10</v>
      </c>
      <c r="F11" s="147">
        <v>10</v>
      </c>
      <c r="G11" s="147">
        <v>10</v>
      </c>
      <c r="H11" s="147" t="s">
        <v>128</v>
      </c>
      <c r="I11" s="147">
        <v>15</v>
      </c>
      <c r="J11" s="147" t="s">
        <v>128</v>
      </c>
      <c r="K11" s="147">
        <v>20</v>
      </c>
      <c r="L11" s="147">
        <v>15</v>
      </c>
      <c r="M11" s="147" t="s">
        <v>128</v>
      </c>
      <c r="N11" s="147" t="s">
        <v>128</v>
      </c>
      <c r="O11" s="147" t="s">
        <v>128</v>
      </c>
      <c r="P11">
        <f t="shared" si="0"/>
        <v>100</v>
      </c>
      <c r="R11" s="149" t="s">
        <v>204</v>
      </c>
    </row>
    <row r="12" spans="3:26" ht="15.95">
      <c r="C12" s="146" t="s">
        <v>205</v>
      </c>
      <c r="D12" s="147">
        <v>10</v>
      </c>
      <c r="E12" s="147">
        <v>10</v>
      </c>
      <c r="F12" s="147">
        <v>10</v>
      </c>
      <c r="G12" s="147">
        <v>15</v>
      </c>
      <c r="H12" s="147"/>
      <c r="I12" s="147" t="s">
        <v>128</v>
      </c>
      <c r="J12" s="147">
        <v>20</v>
      </c>
      <c r="K12" s="147" t="s">
        <v>128</v>
      </c>
      <c r="L12" s="147" t="s">
        <v>128</v>
      </c>
      <c r="M12" s="147" t="s">
        <v>128</v>
      </c>
      <c r="N12" s="147">
        <v>15</v>
      </c>
      <c r="O12" s="147">
        <v>20</v>
      </c>
      <c r="P12">
        <f t="shared" si="0"/>
        <v>100</v>
      </c>
      <c r="R12" s="149" t="s">
        <v>206</v>
      </c>
    </row>
    <row r="13" spans="3:26" ht="15.95">
      <c r="C13" s="146" t="s">
        <v>207</v>
      </c>
      <c r="D13" s="147">
        <v>10</v>
      </c>
      <c r="E13" s="147">
        <v>10</v>
      </c>
      <c r="F13" s="147"/>
      <c r="G13" s="147" t="s">
        <v>128</v>
      </c>
      <c r="H13" s="147">
        <v>20</v>
      </c>
      <c r="I13" s="147">
        <v>20</v>
      </c>
      <c r="J13" s="147">
        <v>20</v>
      </c>
      <c r="K13" s="147">
        <v>20</v>
      </c>
      <c r="L13" s="147" t="s">
        <v>128</v>
      </c>
      <c r="M13" s="147" t="s">
        <v>128</v>
      </c>
      <c r="N13" s="147"/>
      <c r="O13" s="147" t="s">
        <v>128</v>
      </c>
      <c r="P13">
        <f t="shared" si="0"/>
        <v>100</v>
      </c>
      <c r="R13" t="s">
        <v>208</v>
      </c>
    </row>
    <row r="14" spans="3:26" ht="15.95">
      <c r="C14" s="146" t="s">
        <v>209</v>
      </c>
      <c r="D14" s="147">
        <v>10</v>
      </c>
      <c r="E14" s="147">
        <v>10</v>
      </c>
      <c r="F14" s="147">
        <v>10</v>
      </c>
      <c r="G14" s="147"/>
      <c r="H14" s="147">
        <v>15</v>
      </c>
      <c r="I14" s="147">
        <v>20</v>
      </c>
      <c r="J14" s="147">
        <v>15</v>
      </c>
      <c r="K14" s="147">
        <v>20</v>
      </c>
      <c r="L14" s="147" t="s">
        <v>128</v>
      </c>
      <c r="M14" s="147" t="s">
        <v>128</v>
      </c>
      <c r="N14" s="147"/>
      <c r="O14" s="147" t="s">
        <v>128</v>
      </c>
      <c r="P14">
        <f t="shared" si="0"/>
        <v>100</v>
      </c>
      <c r="R14" s="149" t="s">
        <v>210</v>
      </c>
    </row>
    <row r="15" spans="3:26" ht="15.95">
      <c r="C15" s="146" t="s">
        <v>211</v>
      </c>
      <c r="D15" s="147">
        <v>10</v>
      </c>
      <c r="E15" s="147">
        <v>10</v>
      </c>
      <c r="F15" s="147">
        <v>10</v>
      </c>
      <c r="G15" s="147" t="s">
        <v>128</v>
      </c>
      <c r="H15" s="147" t="s">
        <v>128</v>
      </c>
      <c r="I15" s="147" t="s">
        <v>128</v>
      </c>
      <c r="J15" s="147" t="s">
        <v>128</v>
      </c>
      <c r="K15" s="147">
        <v>20</v>
      </c>
      <c r="L15" s="147">
        <v>40</v>
      </c>
      <c r="M15" s="147">
        <v>10</v>
      </c>
      <c r="N15" s="147" t="s">
        <v>128</v>
      </c>
      <c r="O15" s="147" t="s">
        <v>128</v>
      </c>
      <c r="P15">
        <f t="shared" si="0"/>
        <v>100</v>
      </c>
      <c r="R15" s="149" t="s">
        <v>212</v>
      </c>
    </row>
    <row r="16" spans="3:26" ht="15.95">
      <c r="C16" s="146" t="s">
        <v>213</v>
      </c>
      <c r="D16" s="147">
        <v>20</v>
      </c>
      <c r="E16" s="147">
        <v>5</v>
      </c>
      <c r="F16" s="147">
        <v>10</v>
      </c>
      <c r="G16" s="150">
        <v>20</v>
      </c>
      <c r="H16" s="150">
        <v>5</v>
      </c>
      <c r="I16" s="147">
        <v>25</v>
      </c>
      <c r="J16" s="150">
        <v>5</v>
      </c>
      <c r="K16" s="150">
        <v>20</v>
      </c>
      <c r="L16" s="150">
        <v>20</v>
      </c>
      <c r="M16" s="147">
        <v>5</v>
      </c>
      <c r="N16" s="147">
        <v>10</v>
      </c>
      <c r="O16" s="147"/>
      <c r="P16">
        <f t="shared" si="0"/>
        <v>145</v>
      </c>
    </row>
    <row r="17" spans="3:16" ht="15.95">
      <c r="C17" s="146" t="s">
        <v>214</v>
      </c>
      <c r="D17" s="147">
        <v>20</v>
      </c>
      <c r="E17" s="147">
        <v>5</v>
      </c>
      <c r="F17" s="147">
        <v>10</v>
      </c>
      <c r="G17" s="150">
        <v>20</v>
      </c>
      <c r="H17" s="150">
        <v>5</v>
      </c>
      <c r="I17" s="147">
        <v>25</v>
      </c>
      <c r="J17" s="150">
        <v>5</v>
      </c>
      <c r="K17" s="150">
        <v>20</v>
      </c>
      <c r="L17" s="150">
        <v>20</v>
      </c>
      <c r="M17" s="147">
        <v>5</v>
      </c>
      <c r="N17" s="147">
        <v>10</v>
      </c>
      <c r="O17" s="147"/>
      <c r="P17">
        <f t="shared" si="0"/>
        <v>145</v>
      </c>
    </row>
    <row r="18" spans="3:16" ht="15.95">
      <c r="C18" s="146" t="s">
        <v>215</v>
      </c>
      <c r="D18" s="147">
        <v>20</v>
      </c>
      <c r="E18" s="147">
        <v>5</v>
      </c>
      <c r="F18" s="147">
        <v>10</v>
      </c>
      <c r="G18" s="150">
        <v>20</v>
      </c>
      <c r="H18" s="150">
        <v>5</v>
      </c>
      <c r="I18" s="147">
        <v>25</v>
      </c>
      <c r="J18" s="150">
        <v>5</v>
      </c>
      <c r="K18" s="150">
        <v>20</v>
      </c>
      <c r="L18" s="150">
        <v>20</v>
      </c>
      <c r="M18" s="147">
        <v>5</v>
      </c>
      <c r="N18" s="147">
        <v>10</v>
      </c>
      <c r="O18" s="147"/>
      <c r="P18">
        <f t="shared" si="0"/>
        <v>145</v>
      </c>
    </row>
    <row r="19" spans="3:16" ht="15.95">
      <c r="C19" s="151" t="s">
        <v>216</v>
      </c>
      <c r="D19" s="151">
        <f t="shared" ref="D19:O19" si="1">SUM(D8:D18)</f>
        <v>150</v>
      </c>
      <c r="E19" s="151">
        <f t="shared" si="1"/>
        <v>95</v>
      </c>
      <c r="F19" s="151">
        <f t="shared" si="1"/>
        <v>100</v>
      </c>
      <c r="G19" s="151">
        <f t="shared" si="1"/>
        <v>110</v>
      </c>
      <c r="H19" s="151">
        <f t="shared" si="1"/>
        <v>50</v>
      </c>
      <c r="I19" s="151">
        <f t="shared" si="1"/>
        <v>155</v>
      </c>
      <c r="J19" s="151">
        <f t="shared" si="1"/>
        <v>70</v>
      </c>
      <c r="K19" s="151">
        <f t="shared" si="1"/>
        <v>195</v>
      </c>
      <c r="L19" s="151">
        <f t="shared" si="1"/>
        <v>130</v>
      </c>
      <c r="M19" s="151">
        <f t="shared" si="1"/>
        <v>45</v>
      </c>
      <c r="N19" s="151">
        <f t="shared" si="1"/>
        <v>60</v>
      </c>
      <c r="O19" s="151">
        <f t="shared" si="1"/>
        <v>75</v>
      </c>
    </row>
    <row r="21" spans="3:16">
      <c r="C21" t="s">
        <v>217</v>
      </c>
      <c r="D21" t="s">
        <v>218</v>
      </c>
      <c r="G21" t="s">
        <v>219</v>
      </c>
    </row>
    <row r="22" spans="3:16" ht="14.1">
      <c r="D22" t="s">
        <v>220</v>
      </c>
      <c r="G22" t="s">
        <v>221</v>
      </c>
      <c r="I22" s="152" t="s">
        <v>222</v>
      </c>
    </row>
    <row r="23" spans="3:16">
      <c r="D23" t="s">
        <v>223</v>
      </c>
      <c r="G23" t="s">
        <v>224</v>
      </c>
    </row>
    <row r="26" spans="3:16" ht="15.95">
      <c r="C26" s="146" t="s">
        <v>196</v>
      </c>
      <c r="D26" s="273" t="s">
        <v>185</v>
      </c>
      <c r="E26" s="274"/>
      <c r="F26" s="274"/>
      <c r="G26" s="274"/>
      <c r="H26" s="274"/>
      <c r="I26" s="274"/>
      <c r="J26" s="274"/>
      <c r="K26" s="274"/>
      <c r="L26" s="274"/>
      <c r="M26" s="274"/>
      <c r="N26" s="274"/>
      <c r="O26" s="275"/>
    </row>
    <row r="27" spans="3:16" ht="15.95">
      <c r="C27" s="146" t="s">
        <v>128</v>
      </c>
      <c r="D27" s="153" t="s">
        <v>225</v>
      </c>
      <c r="E27" s="147"/>
      <c r="F27" s="147"/>
      <c r="G27" s="148"/>
      <c r="H27" s="153"/>
      <c r="I27" s="153" t="s">
        <v>226</v>
      </c>
      <c r="J27" s="147"/>
      <c r="K27" s="147"/>
      <c r="L27" s="147"/>
      <c r="M27" s="147"/>
      <c r="N27" s="147"/>
      <c r="O27" s="147"/>
    </row>
    <row r="28" spans="3:16" ht="18">
      <c r="C28" s="146" t="s">
        <v>197</v>
      </c>
      <c r="D28" s="154" t="s">
        <v>227</v>
      </c>
      <c r="I28" s="154" t="s">
        <v>228</v>
      </c>
    </row>
    <row r="29" spans="3:16" ht="18">
      <c r="C29" s="155" t="s">
        <v>199</v>
      </c>
      <c r="D29" s="158" t="s">
        <v>229</v>
      </c>
      <c r="E29" s="159"/>
      <c r="F29" s="159"/>
      <c r="G29" s="159"/>
      <c r="H29" s="159"/>
      <c r="I29" s="158" t="s">
        <v>230</v>
      </c>
      <c r="J29" s="159"/>
      <c r="K29" s="159"/>
    </row>
    <row r="30" spans="3:16" ht="18">
      <c r="C30" s="146" t="s">
        <v>201</v>
      </c>
      <c r="D30" s="154" t="s">
        <v>231</v>
      </c>
      <c r="I30" s="154" t="s">
        <v>232</v>
      </c>
    </row>
    <row r="31" spans="3:16" ht="18">
      <c r="C31" s="146" t="s">
        <v>203</v>
      </c>
      <c r="D31" s="154" t="s">
        <v>233</v>
      </c>
      <c r="I31" s="154" t="s">
        <v>234</v>
      </c>
    </row>
    <row r="32" spans="3:16" ht="18">
      <c r="C32" s="146" t="s">
        <v>205</v>
      </c>
      <c r="D32" s="154" t="s">
        <v>235</v>
      </c>
      <c r="I32" s="154" t="s">
        <v>236</v>
      </c>
    </row>
    <row r="33" spans="3:18" ht="18">
      <c r="C33" s="146" t="s">
        <v>207</v>
      </c>
      <c r="D33" s="154" t="s">
        <v>237</v>
      </c>
      <c r="I33" s="154" t="s">
        <v>238</v>
      </c>
    </row>
    <row r="34" spans="3:18" ht="18">
      <c r="C34" s="146" t="s">
        <v>209</v>
      </c>
      <c r="D34" s="154" t="s">
        <v>239</v>
      </c>
      <c r="I34" s="154" t="s">
        <v>240</v>
      </c>
    </row>
    <row r="35" spans="3:18" ht="18">
      <c r="C35" s="146" t="s">
        <v>211</v>
      </c>
      <c r="D35" s="154" t="s">
        <v>241</v>
      </c>
      <c r="I35" s="154" t="s">
        <v>242</v>
      </c>
    </row>
    <row r="36" spans="3:18" ht="15.95">
      <c r="C36" s="146" t="s">
        <v>213</v>
      </c>
    </row>
    <row r="37" spans="3:18" ht="15.95">
      <c r="C37" s="146" t="s">
        <v>214</v>
      </c>
    </row>
    <row r="38" spans="3:18" ht="18">
      <c r="R38" s="154"/>
    </row>
  </sheetData>
  <mergeCells count="2">
    <mergeCell ref="D6:O6"/>
    <mergeCell ref="D26:O2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T1000"/>
  <sheetViews>
    <sheetView workbookViewId="0"/>
  </sheetViews>
  <sheetFormatPr defaultColWidth="12.42578125" defaultRowHeight="15" customHeight="1"/>
  <cols>
    <col min="1" max="6" width="14.42578125" customWidth="1"/>
    <col min="7" max="7" width="18.140625" customWidth="1"/>
    <col min="8" max="8" width="14.42578125" customWidth="1"/>
    <col min="9" max="9" width="16.140625" customWidth="1"/>
    <col min="10" max="26" width="14.42578125" customWidth="1"/>
  </cols>
  <sheetData>
    <row r="1" spans="1:20" ht="15.75" customHeight="1"/>
    <row r="2" spans="1:20" ht="15.75" customHeight="1">
      <c r="A2" s="1" t="s">
        <v>185</v>
      </c>
      <c r="B2" s="263" t="s">
        <v>243</v>
      </c>
      <c r="C2" s="276"/>
      <c r="D2" s="276"/>
      <c r="G2" s="2"/>
      <c r="H2" s="31" t="s">
        <v>244</v>
      </c>
      <c r="I2" s="31" t="s">
        <v>245</v>
      </c>
      <c r="J2" s="31" t="s">
        <v>246</v>
      </c>
      <c r="K2" s="31" t="s">
        <v>247</v>
      </c>
      <c r="L2" s="31" t="s">
        <v>248</v>
      </c>
      <c r="M2" s="31" t="s">
        <v>249</v>
      </c>
    </row>
    <row r="3" spans="1:20" ht="15.75" customHeight="1">
      <c r="B3" s="32"/>
      <c r="C3" s="32"/>
      <c r="D3" s="32"/>
      <c r="F3" s="1"/>
      <c r="G3" s="3"/>
      <c r="H3" s="3"/>
      <c r="I3" s="3"/>
      <c r="J3" s="3"/>
      <c r="K3" s="3"/>
      <c r="L3" s="3"/>
      <c r="M3" s="3"/>
      <c r="N3" s="3"/>
      <c r="O3" s="3"/>
      <c r="P3" s="3"/>
      <c r="Q3" s="3"/>
      <c r="R3" s="3"/>
      <c r="S3" s="3"/>
      <c r="T3" s="2"/>
    </row>
    <row r="4" spans="1:20" ht="15.75" customHeight="1">
      <c r="B4" s="32"/>
      <c r="C4" s="32"/>
      <c r="D4" s="32"/>
      <c r="F4" s="1"/>
      <c r="G4" s="3"/>
      <c r="H4" s="3"/>
      <c r="I4" s="3"/>
      <c r="J4" s="3"/>
      <c r="K4" s="3"/>
      <c r="L4" s="3"/>
      <c r="M4" s="3"/>
      <c r="N4" s="3"/>
      <c r="O4" s="3"/>
      <c r="P4" s="3"/>
      <c r="Q4" s="3"/>
      <c r="R4" s="3"/>
      <c r="S4" s="3"/>
      <c r="T4" s="2"/>
    </row>
    <row r="5" spans="1:20" ht="15.75" customHeight="1">
      <c r="B5" s="261" t="s">
        <v>250</v>
      </c>
      <c r="C5" s="276"/>
      <c r="D5" s="276"/>
      <c r="F5" s="1">
        <v>6.1</v>
      </c>
      <c r="G5" s="3" t="s">
        <v>251</v>
      </c>
      <c r="H5" s="3" t="s">
        <v>252</v>
      </c>
      <c r="I5" s="3" t="s">
        <v>253</v>
      </c>
      <c r="J5" s="3" t="s">
        <v>254</v>
      </c>
      <c r="K5" s="3" t="s">
        <v>255</v>
      </c>
      <c r="L5" s="3" t="s">
        <v>256</v>
      </c>
      <c r="M5" s="3" t="s">
        <v>257</v>
      </c>
      <c r="N5" s="3" t="e">
        <f ca="1">_xludf.CONCAT(M5,M6)</f>
        <v>#NAME?</v>
      </c>
      <c r="O5" s="3" t="e">
        <f ca="1">_xludf.CONCAT(L5,L6)</f>
        <v>#NAME?</v>
      </c>
      <c r="P5" s="3" t="e">
        <f ca="1">_xludf.CONCAT(K5,K6)</f>
        <v>#NAME?</v>
      </c>
      <c r="Q5" s="3" t="e">
        <f ca="1">_xludf.CONCAT(J5,J6)</f>
        <v>#NAME?</v>
      </c>
      <c r="R5" s="3" t="e">
        <f ca="1">_xludf.CONCAT(I5,I6)</f>
        <v>#NAME?</v>
      </c>
      <c r="S5" s="3" t="e">
        <f ca="1">_xludf.CONCAT(H5,H6)</f>
        <v>#NAME?</v>
      </c>
      <c r="T5" s="2"/>
    </row>
    <row r="6" spans="1:20" ht="15.75" customHeight="1">
      <c r="B6" s="32"/>
      <c r="C6" s="32"/>
      <c r="D6" s="32"/>
      <c r="G6" s="3"/>
      <c r="H6" s="3" t="s">
        <v>258</v>
      </c>
      <c r="I6" s="33" t="s">
        <v>259</v>
      </c>
      <c r="J6" s="3" t="s">
        <v>260</v>
      </c>
      <c r="K6" s="3" t="s">
        <v>261</v>
      </c>
      <c r="L6" s="3" t="s">
        <v>262</v>
      </c>
      <c r="M6" s="3" t="s">
        <v>263</v>
      </c>
      <c r="N6" s="2"/>
      <c r="O6" s="2"/>
      <c r="P6" s="2"/>
      <c r="Q6" s="2"/>
      <c r="R6" s="2"/>
      <c r="S6" s="2"/>
      <c r="T6" s="2"/>
    </row>
    <row r="7" spans="1:20" ht="15.75" customHeight="1">
      <c r="B7" s="261" t="s">
        <v>264</v>
      </c>
      <c r="C7" s="276"/>
      <c r="D7" s="276"/>
      <c r="F7" s="1">
        <v>6.2</v>
      </c>
      <c r="G7" s="2" t="s">
        <v>265</v>
      </c>
      <c r="H7" s="34" t="s">
        <v>266</v>
      </c>
      <c r="I7" s="35" t="s">
        <v>267</v>
      </c>
      <c r="J7" s="35" t="s">
        <v>268</v>
      </c>
      <c r="K7" s="35" t="s">
        <v>269</v>
      </c>
      <c r="L7" s="36" t="s">
        <v>270</v>
      </c>
      <c r="M7" s="37" t="s">
        <v>271</v>
      </c>
      <c r="N7" s="3" t="e">
        <f ca="1">_xludf.CONCAT(M7,M8)</f>
        <v>#NAME?</v>
      </c>
      <c r="O7" s="3" t="e">
        <f ca="1">_xludf.CONCAT(L7,L8)</f>
        <v>#NAME?</v>
      </c>
      <c r="P7" s="3" t="e">
        <f ca="1">_xludf.CONCAT(K7,K8)</f>
        <v>#NAME?</v>
      </c>
      <c r="Q7" s="3" t="e">
        <f ca="1">_xludf.CONCAT(J7,J8)</f>
        <v>#NAME?</v>
      </c>
      <c r="R7" s="3" t="e">
        <f ca="1">_xludf.CONCAT(I7,I8)</f>
        <v>#NAME?</v>
      </c>
      <c r="S7" s="3" t="e">
        <f ca="1">_xludf.CONCAT(H7,H8)</f>
        <v>#NAME?</v>
      </c>
      <c r="T7" s="3"/>
    </row>
    <row r="8" spans="1:20" ht="15.75" customHeight="1">
      <c r="B8" s="261" t="s">
        <v>272</v>
      </c>
      <c r="C8" s="276"/>
      <c r="D8" s="276"/>
      <c r="G8" s="2"/>
      <c r="H8" s="38" t="s">
        <v>258</v>
      </c>
      <c r="I8" s="35" t="s">
        <v>273</v>
      </c>
      <c r="J8" s="36" t="s">
        <v>274</v>
      </c>
      <c r="K8" s="37" t="s">
        <v>275</v>
      </c>
      <c r="L8" s="37" t="s">
        <v>276</v>
      </c>
      <c r="M8" s="37" t="s">
        <v>277</v>
      </c>
      <c r="N8" s="3"/>
      <c r="O8" s="3"/>
      <c r="P8" s="3"/>
      <c r="Q8" s="3"/>
      <c r="R8" s="3"/>
      <c r="S8" s="3"/>
      <c r="T8" s="3"/>
    </row>
    <row r="9" spans="1:20" ht="15.75" customHeight="1">
      <c r="G9" s="1"/>
      <c r="H9" s="2"/>
      <c r="I9" s="1"/>
      <c r="J9" s="1"/>
      <c r="L9" s="1"/>
      <c r="M9" s="1"/>
    </row>
    <row r="10" spans="1:20" ht="15.75" customHeight="1">
      <c r="G10" s="1"/>
      <c r="H10" s="2"/>
      <c r="I10" s="1"/>
      <c r="J10" s="1"/>
      <c r="K10" s="1"/>
      <c r="L10" s="1"/>
      <c r="M10" s="39"/>
    </row>
    <row r="11" spans="1:20" ht="15.75" customHeight="1">
      <c r="G11" s="1"/>
      <c r="H11" s="2"/>
      <c r="I11" s="1"/>
      <c r="J11" s="1"/>
      <c r="K11" s="1"/>
      <c r="L11" s="1"/>
      <c r="M11" s="39"/>
    </row>
    <row r="12" spans="1:20" ht="15.75" customHeight="1">
      <c r="G12" s="1"/>
      <c r="H12" s="2"/>
      <c r="I12" s="1"/>
      <c r="J12" s="1"/>
      <c r="K12" s="1"/>
      <c r="L12" s="1"/>
      <c r="M12" s="39"/>
    </row>
    <row r="13" spans="1:20" ht="15.75" customHeight="1">
      <c r="B13" s="262"/>
      <c r="C13" s="276"/>
      <c r="D13" s="276"/>
      <c r="G13" s="1"/>
      <c r="H13" s="2" t="s">
        <v>278</v>
      </c>
      <c r="I13" s="1" t="s">
        <v>279</v>
      </c>
      <c r="J13" s="1" t="s">
        <v>280</v>
      </c>
      <c r="K13" s="1" t="s">
        <v>281</v>
      </c>
      <c r="L13" s="1" t="s">
        <v>282</v>
      </c>
      <c r="M13" s="39" t="s">
        <v>283</v>
      </c>
    </row>
    <row r="14" spans="1:20" ht="70.5" customHeight="1">
      <c r="B14" s="261" t="s">
        <v>284</v>
      </c>
      <c r="C14" s="276"/>
      <c r="D14" s="276"/>
      <c r="F14" s="1">
        <v>3.1</v>
      </c>
      <c r="G14" s="4"/>
      <c r="H14" s="34" t="s">
        <v>266</v>
      </c>
      <c r="I14" s="2" t="s">
        <v>285</v>
      </c>
      <c r="J14" s="2" t="s">
        <v>286</v>
      </c>
      <c r="K14" s="2" t="s">
        <v>287</v>
      </c>
      <c r="L14" s="2" t="s">
        <v>288</v>
      </c>
      <c r="M14" s="2" t="s">
        <v>289</v>
      </c>
      <c r="N14" s="3" t="e">
        <f ca="1">_xludf.CONCAT(M14,M15)</f>
        <v>#NAME?</v>
      </c>
      <c r="O14" s="3" t="e">
        <f ca="1">_xludf.CONCAT(L14,L15)</f>
        <v>#NAME?</v>
      </c>
      <c r="P14" s="3" t="e">
        <f ca="1">_xludf.CONCAT(K14,K15)</f>
        <v>#NAME?</v>
      </c>
      <c r="Q14" s="3" t="e">
        <f ca="1">_xludf.CONCAT(J14,J15)</f>
        <v>#NAME?</v>
      </c>
      <c r="R14" s="3" t="e">
        <f ca="1">_xludf.CONCAT(I14,I15)</f>
        <v>#NAME?</v>
      </c>
      <c r="S14" s="3" t="e">
        <f ca="1">_xludf.CONCAT(H14,H15)</f>
        <v>#NAME?</v>
      </c>
    </row>
    <row r="15" spans="1:20" ht="66.75" customHeight="1">
      <c r="B15" s="40"/>
      <c r="G15" s="4" t="s">
        <v>290</v>
      </c>
      <c r="H15" s="38" t="s">
        <v>258</v>
      </c>
      <c r="I15" s="2" t="s">
        <v>291</v>
      </c>
      <c r="J15" s="2" t="s">
        <v>292</v>
      </c>
      <c r="K15" s="2" t="s">
        <v>293</v>
      </c>
      <c r="L15" s="2" t="s">
        <v>294</v>
      </c>
      <c r="M15" s="2" t="s">
        <v>295</v>
      </c>
    </row>
    <row r="16" spans="1:20" ht="15.75" customHeight="1">
      <c r="G16" s="1"/>
      <c r="H16" s="2"/>
      <c r="I16" s="2"/>
      <c r="J16" s="2"/>
      <c r="K16" s="2"/>
      <c r="L16" s="2"/>
      <c r="M16" s="41"/>
    </row>
    <row r="17" spans="2:19" ht="15.75" customHeight="1">
      <c r="G17" s="1"/>
      <c r="H17" s="2"/>
      <c r="I17" s="2"/>
      <c r="J17" s="2"/>
      <c r="K17" s="2"/>
      <c r="L17" s="2"/>
      <c r="M17" s="2"/>
    </row>
    <row r="18" spans="2:19" ht="15.75" customHeight="1">
      <c r="B18" s="261" t="s">
        <v>296</v>
      </c>
      <c r="C18" s="276"/>
      <c r="D18" s="276"/>
      <c r="F18" s="1">
        <v>3.2</v>
      </c>
      <c r="G18" s="1"/>
      <c r="H18" s="34" t="s">
        <v>266</v>
      </c>
      <c r="I18" s="2" t="s">
        <v>297</v>
      </c>
      <c r="J18" s="2" t="s">
        <v>298</v>
      </c>
      <c r="K18" s="2" t="s">
        <v>299</v>
      </c>
      <c r="L18" s="2" t="s">
        <v>300</v>
      </c>
      <c r="M18" s="2" t="s">
        <v>301</v>
      </c>
      <c r="N18" s="2" t="e">
        <f ca="1">_xludf.CONCAT(M18,M19)</f>
        <v>#NAME?</v>
      </c>
      <c r="O18" s="2" t="e">
        <f ca="1">_xludf.CONCAT(L18,L19)</f>
        <v>#NAME?</v>
      </c>
      <c r="P18" s="2" t="e">
        <f ca="1">_xludf.CONCAT(K18,K19)</f>
        <v>#NAME?</v>
      </c>
      <c r="Q18" s="2" t="e">
        <f ca="1">_xludf.CONCAT(J18,J19)</f>
        <v>#NAME?</v>
      </c>
      <c r="R18" s="2" t="e">
        <f ca="1">_xludf.CONCAT(I18,I19)</f>
        <v>#NAME?</v>
      </c>
      <c r="S18" s="2" t="e">
        <f ca="1">_xludf.CONCAT(H18,H19)</f>
        <v>#NAME?</v>
      </c>
    </row>
    <row r="19" spans="2:19" ht="15.75" customHeight="1">
      <c r="G19" s="1"/>
      <c r="H19" s="38" t="s">
        <v>258</v>
      </c>
      <c r="I19" s="2"/>
      <c r="J19" s="2"/>
      <c r="K19" s="2" t="s">
        <v>302</v>
      </c>
      <c r="L19" s="2" t="s">
        <v>303</v>
      </c>
      <c r="M19" s="2"/>
    </row>
    <row r="20" spans="2:19" ht="15.75" customHeight="1">
      <c r="G20" s="1"/>
      <c r="H20" s="2"/>
      <c r="I20" s="1"/>
      <c r="J20" s="1"/>
      <c r="K20" s="1"/>
      <c r="L20" s="1"/>
      <c r="M20" s="1"/>
    </row>
    <row r="21" spans="2:19" ht="15.75" customHeight="1">
      <c r="G21" s="2"/>
      <c r="H21" s="2"/>
      <c r="I21" s="2"/>
      <c r="J21" s="2"/>
      <c r="K21" s="2"/>
      <c r="L21" s="2"/>
      <c r="M21" s="2"/>
    </row>
    <row r="22" spans="2:19" ht="15.75" customHeight="1">
      <c r="G22" s="2"/>
      <c r="H22" s="2"/>
      <c r="I22" s="2"/>
      <c r="J22" s="2"/>
      <c r="K22" s="2"/>
      <c r="L22" s="2"/>
      <c r="M22" s="2"/>
    </row>
    <row r="23" spans="2:19" ht="15.75" customHeight="1"/>
    <row r="24" spans="2:19" ht="15.75" customHeight="1">
      <c r="H24" s="1" t="s">
        <v>304</v>
      </c>
      <c r="I24" s="1" t="s">
        <v>279</v>
      </c>
      <c r="J24" s="1" t="s">
        <v>305</v>
      </c>
      <c r="K24" s="1" t="s">
        <v>281</v>
      </c>
      <c r="L24" s="1" t="s">
        <v>306</v>
      </c>
      <c r="M24" s="1" t="s">
        <v>307</v>
      </c>
    </row>
    <row r="25" spans="2:19" ht="15.75" customHeight="1">
      <c r="B25" s="262" t="s">
        <v>308</v>
      </c>
      <c r="C25" s="276"/>
      <c r="D25" s="276"/>
      <c r="G25" s="1" t="s">
        <v>309</v>
      </c>
      <c r="H25" s="3" t="s">
        <v>310</v>
      </c>
      <c r="I25" s="3" t="s">
        <v>311</v>
      </c>
      <c r="J25" s="3" t="s">
        <v>312</v>
      </c>
      <c r="K25" s="3" t="s">
        <v>313</v>
      </c>
      <c r="L25" s="3" t="s">
        <v>314</v>
      </c>
      <c r="M25" s="3" t="s">
        <v>315</v>
      </c>
    </row>
    <row r="26" spans="2:19" ht="15.75" customHeight="1">
      <c r="G26" s="1" t="s">
        <v>316</v>
      </c>
    </row>
    <row r="27" spans="2:19" ht="15.75" customHeight="1"/>
    <row r="28" spans="2:19" ht="15.75" customHeight="1"/>
    <row r="29" spans="2:19" ht="15.75" customHeight="1"/>
    <row r="30" spans="2:19" ht="15.75" customHeight="1"/>
    <row r="31" spans="2:19" ht="15.75" customHeight="1"/>
    <row r="32" spans="2: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B14:D14"/>
    <mergeCell ref="B18:D18"/>
    <mergeCell ref="B25:D25"/>
    <mergeCell ref="B2:D2"/>
    <mergeCell ref="B5:D5"/>
    <mergeCell ref="B7:D7"/>
    <mergeCell ref="B8:D8"/>
    <mergeCell ref="B13:D13"/>
  </mergeCells>
  <pageMargins left="0.7" right="0.7" top="0.75" bottom="0.75" header="0" footer="0"/>
  <pageSetup orientation="landscape"/>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election sqref="A1:H2"/>
    </sheetView>
  </sheetViews>
  <sheetFormatPr defaultColWidth="12.42578125" defaultRowHeight="15" customHeight="1"/>
  <cols>
    <col min="1" max="1" width="8.7109375" customWidth="1"/>
    <col min="2" max="2" width="23.7109375" customWidth="1"/>
    <col min="3" max="3" width="115.7109375" customWidth="1"/>
    <col min="4" max="4" width="15.42578125" customWidth="1"/>
    <col min="5" max="5" width="12.42578125" customWidth="1"/>
    <col min="6" max="6" width="13.7109375" customWidth="1"/>
    <col min="7" max="7" width="14.140625" customWidth="1"/>
    <col min="8" max="8" width="11.42578125" customWidth="1"/>
    <col min="9" max="26" width="8.7109375" customWidth="1"/>
  </cols>
  <sheetData>
    <row r="1" spans="1:26" ht="12.75" customHeight="1">
      <c r="A1" s="264" t="s">
        <v>317</v>
      </c>
      <c r="B1" s="277"/>
      <c r="C1" s="277"/>
      <c r="D1" s="277"/>
      <c r="E1" s="277"/>
      <c r="F1" s="277"/>
      <c r="G1" s="277"/>
      <c r="H1" s="278"/>
      <c r="I1" s="5"/>
      <c r="J1" s="5"/>
      <c r="K1" s="5"/>
      <c r="L1" s="5"/>
      <c r="M1" s="5"/>
      <c r="N1" s="5"/>
      <c r="O1" s="5"/>
      <c r="P1" s="5"/>
      <c r="Q1" s="5"/>
      <c r="R1" s="5"/>
      <c r="S1" s="5"/>
      <c r="T1" s="5"/>
      <c r="U1" s="5"/>
      <c r="V1" s="5"/>
      <c r="W1" s="5"/>
      <c r="X1" s="5"/>
      <c r="Y1" s="5"/>
      <c r="Z1" s="5"/>
    </row>
    <row r="2" spans="1:26" ht="12.75" customHeight="1">
      <c r="A2" s="279"/>
      <c r="B2" s="276"/>
      <c r="C2" s="276"/>
      <c r="D2" s="276"/>
      <c r="E2" s="276"/>
      <c r="F2" s="276"/>
      <c r="G2" s="276"/>
      <c r="H2" s="280"/>
      <c r="I2" s="5"/>
      <c r="J2" s="5"/>
      <c r="K2" s="5"/>
      <c r="L2" s="5"/>
      <c r="M2" s="5"/>
      <c r="N2" s="5"/>
      <c r="O2" s="5"/>
      <c r="P2" s="5"/>
      <c r="Q2" s="5"/>
      <c r="R2" s="5"/>
      <c r="S2" s="5"/>
      <c r="T2" s="5"/>
      <c r="U2" s="5"/>
      <c r="V2" s="5"/>
      <c r="W2" s="5"/>
      <c r="X2" s="5"/>
      <c r="Y2" s="5"/>
      <c r="Z2" s="5"/>
    </row>
    <row r="3" spans="1:26" ht="15.75" customHeight="1">
      <c r="A3" s="265" t="s">
        <v>318</v>
      </c>
      <c r="B3" s="276"/>
      <c r="C3" s="42" t="s">
        <v>99</v>
      </c>
      <c r="D3" s="266" t="s">
        <v>129</v>
      </c>
      <c r="E3" s="276"/>
      <c r="F3" s="276"/>
      <c r="G3" s="276"/>
      <c r="H3" s="280"/>
      <c r="I3" s="5"/>
      <c r="J3" s="5"/>
      <c r="K3" s="267" t="s">
        <v>319</v>
      </c>
      <c r="L3" s="276"/>
      <c r="M3" s="276"/>
      <c r="N3" s="276"/>
      <c r="O3" s="43"/>
      <c r="P3" s="5"/>
      <c r="Q3" s="5"/>
      <c r="R3" s="5"/>
      <c r="S3" s="5"/>
      <c r="T3" s="5"/>
      <c r="U3" s="5"/>
      <c r="V3" s="5"/>
      <c r="W3" s="5"/>
      <c r="X3" s="5"/>
      <c r="Y3" s="5"/>
      <c r="Z3" s="5"/>
    </row>
    <row r="4" spans="1:26" ht="12.75" customHeight="1">
      <c r="A4" s="6"/>
      <c r="B4" s="7"/>
      <c r="C4" s="7"/>
      <c r="D4" s="8">
        <v>1</v>
      </c>
      <c r="E4" s="9">
        <v>2</v>
      </c>
      <c r="F4" s="9">
        <v>3</v>
      </c>
      <c r="G4" s="9">
        <v>4</v>
      </c>
      <c r="H4" s="10">
        <v>5</v>
      </c>
      <c r="I4" s="5"/>
      <c r="J4" s="5"/>
      <c r="K4" s="5"/>
      <c r="L4" s="5"/>
      <c r="M4" s="5"/>
      <c r="N4" s="5"/>
      <c r="O4" s="5"/>
      <c r="P4" s="5"/>
      <c r="Q4" s="5"/>
      <c r="R4" s="5"/>
      <c r="S4" s="5"/>
      <c r="T4" s="5"/>
      <c r="U4" s="5"/>
      <c r="V4" s="5"/>
      <c r="W4" s="5"/>
      <c r="X4" s="5"/>
      <c r="Y4" s="5"/>
      <c r="Z4" s="5"/>
    </row>
    <row r="5" spans="1:26" ht="12.75" customHeight="1">
      <c r="A5" s="11"/>
      <c r="B5" s="5"/>
      <c r="C5" s="5"/>
      <c r="D5" s="12" t="s">
        <v>320</v>
      </c>
      <c r="E5" s="13" t="s">
        <v>321</v>
      </c>
      <c r="F5" s="13" t="s">
        <v>140</v>
      </c>
      <c r="G5" s="13" t="s">
        <v>143</v>
      </c>
      <c r="H5" s="14" t="s">
        <v>146</v>
      </c>
      <c r="I5" s="5"/>
      <c r="J5" s="5"/>
      <c r="K5" s="5"/>
      <c r="L5" s="5"/>
      <c r="M5" s="5"/>
      <c r="N5" s="5"/>
      <c r="O5" s="5"/>
      <c r="P5" s="5"/>
      <c r="Q5" s="5"/>
      <c r="R5" s="5"/>
      <c r="S5" s="5"/>
      <c r="T5" s="5"/>
      <c r="U5" s="5"/>
      <c r="V5" s="5"/>
      <c r="W5" s="5"/>
      <c r="X5" s="5"/>
      <c r="Y5" s="5"/>
      <c r="Z5" s="5"/>
    </row>
    <row r="6" spans="1:26" ht="12.75" customHeight="1">
      <c r="A6" s="11"/>
      <c r="B6" s="5"/>
      <c r="C6" s="5"/>
      <c r="D6" s="15"/>
      <c r="E6" s="16"/>
      <c r="F6" s="16"/>
      <c r="G6" s="16"/>
      <c r="H6" s="17"/>
      <c r="I6" s="5"/>
      <c r="J6" s="5"/>
      <c r="K6" s="5"/>
      <c r="L6" s="5"/>
      <c r="M6" s="5"/>
      <c r="N6" s="5"/>
      <c r="O6" s="5"/>
      <c r="P6" s="5"/>
      <c r="Q6" s="5"/>
      <c r="R6" s="5"/>
      <c r="S6" s="5"/>
      <c r="T6" s="5"/>
      <c r="U6" s="5"/>
      <c r="V6" s="5"/>
      <c r="W6" s="5"/>
      <c r="X6" s="5"/>
      <c r="Y6" s="5"/>
      <c r="Z6" s="5"/>
    </row>
    <row r="7" spans="1:26" ht="39.75" customHeight="1">
      <c r="A7" s="18">
        <v>1</v>
      </c>
      <c r="B7" s="19" t="s">
        <v>109</v>
      </c>
      <c r="C7" s="19" t="s">
        <v>322</v>
      </c>
      <c r="D7" s="20" t="s">
        <v>323</v>
      </c>
      <c r="E7" s="21" t="s">
        <v>323</v>
      </c>
      <c r="F7" s="21" t="s">
        <v>323</v>
      </c>
      <c r="G7" s="20" t="s">
        <v>323</v>
      </c>
      <c r="H7" s="20" t="s">
        <v>323</v>
      </c>
      <c r="I7" s="22"/>
      <c r="J7" s="22"/>
      <c r="K7" s="22"/>
      <c r="L7" s="22"/>
      <c r="M7" s="22"/>
      <c r="N7" s="22"/>
      <c r="O7" s="22"/>
      <c r="P7" s="22"/>
      <c r="Q7" s="22"/>
      <c r="R7" s="22"/>
      <c r="S7" s="22"/>
      <c r="T7" s="22"/>
      <c r="U7" s="22"/>
      <c r="V7" s="22"/>
      <c r="W7" s="22"/>
      <c r="X7" s="22"/>
      <c r="Y7" s="22"/>
      <c r="Z7" s="22"/>
    </row>
    <row r="8" spans="1:26" ht="39.75" customHeight="1">
      <c r="A8" s="18">
        <v>2</v>
      </c>
      <c r="B8" s="19" t="s">
        <v>111</v>
      </c>
      <c r="C8" s="19" t="s">
        <v>324</v>
      </c>
      <c r="D8" s="20" t="s">
        <v>323</v>
      </c>
      <c r="E8" s="21" t="s">
        <v>323</v>
      </c>
      <c r="F8" s="21" t="s">
        <v>323</v>
      </c>
      <c r="G8" s="20"/>
      <c r="H8" s="20" t="s">
        <v>323</v>
      </c>
      <c r="I8" s="22"/>
      <c r="J8" s="22"/>
      <c r="K8" s="22"/>
      <c r="L8" s="22"/>
      <c r="M8" s="22"/>
      <c r="N8" s="22"/>
      <c r="O8" s="22"/>
      <c r="P8" s="22"/>
      <c r="Q8" s="22"/>
      <c r="R8" s="22"/>
      <c r="S8" s="22"/>
      <c r="T8" s="22"/>
      <c r="U8" s="22"/>
      <c r="V8" s="22"/>
      <c r="W8" s="22"/>
      <c r="X8" s="22"/>
      <c r="Y8" s="22"/>
      <c r="Z8" s="22"/>
    </row>
    <row r="9" spans="1:26" ht="39.75" customHeight="1">
      <c r="A9" s="23">
        <v>9</v>
      </c>
      <c r="B9" s="24" t="s">
        <v>102</v>
      </c>
      <c r="C9" s="25" t="s">
        <v>325</v>
      </c>
      <c r="D9" s="26" t="s">
        <v>323</v>
      </c>
      <c r="E9" s="27" t="s">
        <v>323</v>
      </c>
      <c r="F9" s="27" t="s">
        <v>323</v>
      </c>
      <c r="G9" s="26" t="s">
        <v>323</v>
      </c>
      <c r="H9" s="26"/>
      <c r="I9" s="22"/>
      <c r="J9" s="22"/>
      <c r="K9" s="22"/>
      <c r="L9" s="22"/>
      <c r="M9" s="22"/>
      <c r="N9" s="22"/>
      <c r="O9" s="22"/>
      <c r="P9" s="22"/>
      <c r="Q9" s="22"/>
      <c r="R9" s="22"/>
      <c r="S9" s="22"/>
      <c r="T9" s="22"/>
      <c r="U9" s="22"/>
      <c r="V9" s="22"/>
      <c r="W9" s="22"/>
      <c r="X9" s="22"/>
      <c r="Y9" s="22"/>
      <c r="Z9" s="22"/>
    </row>
    <row r="10" spans="1:26" ht="39.75" customHeight="1">
      <c r="A10" s="23">
        <v>10</v>
      </c>
      <c r="B10" s="24" t="s">
        <v>104</v>
      </c>
      <c r="C10" s="25" t="s">
        <v>326</v>
      </c>
      <c r="D10" s="26" t="s">
        <v>323</v>
      </c>
      <c r="E10" s="27" t="s">
        <v>323</v>
      </c>
      <c r="F10" s="27" t="s">
        <v>323</v>
      </c>
      <c r="G10" s="26" t="s">
        <v>323</v>
      </c>
      <c r="H10" s="26" t="s">
        <v>323</v>
      </c>
      <c r="I10" s="22"/>
      <c r="J10" s="22"/>
      <c r="K10" s="22"/>
      <c r="L10" s="22"/>
      <c r="M10" s="22"/>
      <c r="N10" s="22"/>
      <c r="O10" s="22"/>
      <c r="P10" s="22"/>
      <c r="Q10" s="22"/>
      <c r="R10" s="22"/>
      <c r="S10" s="22"/>
      <c r="T10" s="22"/>
      <c r="U10" s="22"/>
      <c r="V10" s="22"/>
      <c r="W10" s="22"/>
      <c r="X10" s="22"/>
      <c r="Y10" s="22"/>
      <c r="Z10" s="22"/>
    </row>
    <row r="11" spans="1:26" ht="39.75" customHeight="1">
      <c r="A11" s="28">
        <v>11</v>
      </c>
      <c r="B11" s="24" t="s">
        <v>106</v>
      </c>
      <c r="C11" s="25" t="s">
        <v>327</v>
      </c>
      <c r="D11" s="29" t="s">
        <v>323</v>
      </c>
      <c r="E11" s="30" t="s">
        <v>323</v>
      </c>
      <c r="F11" s="30" t="s">
        <v>323</v>
      </c>
      <c r="G11" s="29" t="s">
        <v>323</v>
      </c>
      <c r="H11" s="29" t="s">
        <v>323</v>
      </c>
      <c r="I11" s="5"/>
      <c r="J11" s="5"/>
      <c r="K11" s="5"/>
      <c r="L11" s="5"/>
      <c r="M11" s="5"/>
      <c r="N11" s="5"/>
      <c r="O11" s="5"/>
      <c r="P11" s="5"/>
      <c r="Q11" s="5"/>
      <c r="R11" s="5"/>
      <c r="S11" s="5"/>
      <c r="T11" s="5"/>
      <c r="U11" s="5"/>
      <c r="V11" s="5"/>
      <c r="W11" s="5"/>
      <c r="X11" s="5"/>
      <c r="Y11" s="5"/>
      <c r="Z11" s="5"/>
    </row>
    <row r="12" spans="1:26" ht="12.75" customHeight="1">
      <c r="A12" s="5"/>
      <c r="B12" s="5"/>
      <c r="C12" s="5"/>
      <c r="D12" s="5"/>
      <c r="E12" s="5"/>
      <c r="F12" s="5"/>
      <c r="G12" s="5"/>
      <c r="H12" s="5"/>
      <c r="I12" s="5"/>
      <c r="J12" s="5"/>
      <c r="K12" s="5"/>
      <c r="L12" s="5"/>
      <c r="M12" s="5"/>
      <c r="N12" s="5"/>
      <c r="O12" s="5"/>
      <c r="P12" s="5"/>
      <c r="Q12" s="5"/>
      <c r="R12" s="5"/>
      <c r="S12" s="5"/>
      <c r="T12" s="5"/>
      <c r="U12" s="5"/>
      <c r="V12" s="5"/>
      <c r="W12" s="5"/>
      <c r="X12" s="5"/>
      <c r="Y12" s="5"/>
      <c r="Z12" s="5"/>
    </row>
    <row r="13" spans="1:26" ht="12.75" customHeight="1">
      <c r="A13" s="5"/>
      <c r="B13" s="5"/>
      <c r="C13" s="5"/>
      <c r="D13" s="5"/>
      <c r="E13" s="5"/>
      <c r="F13" s="5"/>
      <c r="G13" s="5"/>
      <c r="H13" s="5"/>
      <c r="I13" s="5"/>
      <c r="J13" s="5"/>
      <c r="K13" s="5"/>
      <c r="L13" s="5"/>
      <c r="M13" s="5"/>
      <c r="N13" s="5"/>
      <c r="O13" s="5"/>
      <c r="P13" s="5"/>
      <c r="Q13" s="5"/>
      <c r="R13" s="5"/>
      <c r="S13" s="5"/>
      <c r="T13" s="5"/>
      <c r="U13" s="5"/>
      <c r="V13" s="5"/>
      <c r="W13" s="5"/>
      <c r="X13" s="5"/>
      <c r="Y13" s="5"/>
      <c r="Z13" s="5"/>
    </row>
    <row r="14" spans="1:26" ht="12.75" customHeight="1">
      <c r="A14" s="5"/>
      <c r="B14" s="5"/>
      <c r="C14" s="5"/>
      <c r="D14" s="5"/>
      <c r="E14" s="5"/>
      <c r="F14" s="5"/>
      <c r="G14" s="5"/>
      <c r="H14" s="5"/>
      <c r="I14" s="5"/>
      <c r="J14" s="5"/>
      <c r="K14" s="5"/>
      <c r="L14" s="5"/>
      <c r="M14" s="5"/>
      <c r="N14" s="5"/>
      <c r="O14" s="5"/>
      <c r="P14" s="5"/>
      <c r="Q14" s="5"/>
      <c r="R14" s="5"/>
      <c r="S14" s="5"/>
      <c r="T14" s="5"/>
      <c r="U14" s="5"/>
      <c r="V14" s="5"/>
      <c r="W14" s="5"/>
      <c r="X14" s="5"/>
      <c r="Y14" s="5"/>
      <c r="Z14" s="5"/>
    </row>
    <row r="15" spans="1:26" ht="12.75" customHeight="1">
      <c r="A15" s="5"/>
      <c r="B15" s="5"/>
      <c r="C15" s="5"/>
      <c r="D15" s="5"/>
      <c r="E15" s="5"/>
      <c r="F15" s="5"/>
      <c r="G15" s="5"/>
      <c r="H15" s="5"/>
      <c r="I15" s="5"/>
      <c r="J15" s="5"/>
      <c r="K15" s="5"/>
      <c r="L15" s="5"/>
      <c r="M15" s="5"/>
      <c r="N15" s="5"/>
      <c r="O15" s="5"/>
      <c r="P15" s="5"/>
      <c r="Q15" s="5"/>
      <c r="R15" s="5"/>
      <c r="S15" s="5"/>
      <c r="T15" s="5"/>
      <c r="U15" s="5"/>
      <c r="V15" s="5"/>
      <c r="W15" s="5"/>
      <c r="X15" s="5"/>
      <c r="Y15" s="5"/>
      <c r="Z15" s="5"/>
    </row>
    <row r="16" spans="1:26" ht="12.75" customHeight="1">
      <c r="A16" s="5"/>
      <c r="B16" s="5"/>
      <c r="C16" s="5"/>
      <c r="D16" s="5"/>
      <c r="E16" s="5"/>
      <c r="F16" s="5"/>
      <c r="G16" s="5"/>
      <c r="H16" s="5"/>
      <c r="I16" s="5"/>
      <c r="J16" s="5"/>
      <c r="K16" s="5"/>
      <c r="L16" s="5"/>
      <c r="M16" s="5"/>
      <c r="N16" s="5"/>
      <c r="O16" s="5"/>
      <c r="P16" s="5"/>
      <c r="Q16" s="5"/>
      <c r="R16" s="5"/>
      <c r="S16" s="5"/>
      <c r="T16" s="5"/>
      <c r="U16" s="5"/>
      <c r="V16" s="5"/>
      <c r="W16" s="5"/>
      <c r="X16" s="5"/>
      <c r="Y16" s="5"/>
      <c r="Z16" s="5"/>
    </row>
    <row r="17" spans="1:26" ht="12.75" customHeight="1">
      <c r="A17" s="5"/>
      <c r="B17" s="5"/>
      <c r="C17" s="5"/>
      <c r="D17" s="5"/>
      <c r="E17" s="5"/>
      <c r="F17" s="5"/>
      <c r="G17" s="5"/>
      <c r="H17" s="5"/>
      <c r="I17" s="5"/>
      <c r="J17" s="5"/>
      <c r="K17" s="5"/>
      <c r="L17" s="5"/>
      <c r="M17" s="5"/>
      <c r="N17" s="5"/>
      <c r="O17" s="5"/>
      <c r="P17" s="5"/>
      <c r="Q17" s="5"/>
      <c r="R17" s="5"/>
      <c r="S17" s="5"/>
      <c r="T17" s="5"/>
      <c r="U17" s="5"/>
      <c r="V17" s="5"/>
      <c r="W17" s="5"/>
      <c r="X17" s="5"/>
      <c r="Y17" s="5"/>
      <c r="Z17" s="5"/>
    </row>
    <row r="18" spans="1:26" ht="12.75" customHeight="1">
      <c r="A18" s="5"/>
      <c r="B18" s="5"/>
      <c r="C18" s="5"/>
      <c r="D18" s="5"/>
      <c r="E18" s="5"/>
      <c r="F18" s="5"/>
      <c r="G18" s="5"/>
      <c r="H18" s="5"/>
      <c r="I18" s="5"/>
      <c r="J18" s="5"/>
      <c r="K18" s="5"/>
      <c r="L18" s="5"/>
      <c r="M18" s="5"/>
      <c r="N18" s="5"/>
      <c r="O18" s="5"/>
      <c r="P18" s="5"/>
      <c r="Q18" s="5"/>
      <c r="R18" s="5"/>
      <c r="S18" s="5"/>
      <c r="T18" s="5"/>
      <c r="U18" s="5"/>
      <c r="V18" s="5"/>
      <c r="W18" s="5"/>
      <c r="X18" s="5"/>
      <c r="Y18" s="5"/>
      <c r="Z18" s="5"/>
    </row>
    <row r="19" spans="1:26" ht="12.75" customHeight="1">
      <c r="A19" s="5"/>
      <c r="B19" s="5"/>
      <c r="C19" s="5"/>
      <c r="D19" s="5"/>
      <c r="E19" s="5"/>
      <c r="F19" s="5"/>
      <c r="G19" s="5"/>
      <c r="H19" s="5"/>
      <c r="I19" s="5"/>
      <c r="J19" s="5"/>
      <c r="K19" s="5"/>
      <c r="L19" s="5"/>
      <c r="M19" s="5"/>
      <c r="N19" s="5"/>
      <c r="O19" s="5"/>
      <c r="P19" s="5"/>
      <c r="Q19" s="5"/>
      <c r="R19" s="5"/>
      <c r="S19" s="5"/>
      <c r="T19" s="5"/>
      <c r="U19" s="5"/>
      <c r="V19" s="5"/>
      <c r="W19" s="5"/>
      <c r="X19" s="5"/>
      <c r="Y19" s="5"/>
      <c r="Z19" s="5"/>
    </row>
    <row r="20" spans="1:26" ht="12.75" customHeight="1">
      <c r="A20" s="5"/>
      <c r="B20" s="5"/>
      <c r="C20" s="5"/>
      <c r="D20" s="5"/>
      <c r="E20" s="5"/>
      <c r="F20" s="5"/>
      <c r="G20" s="5"/>
      <c r="H20" s="5"/>
      <c r="I20" s="5"/>
      <c r="J20" s="5"/>
      <c r="K20" s="5"/>
      <c r="L20" s="5"/>
      <c r="M20" s="5"/>
      <c r="N20" s="5"/>
      <c r="O20" s="5"/>
      <c r="P20" s="5"/>
      <c r="Q20" s="5"/>
      <c r="R20" s="5"/>
      <c r="S20" s="5"/>
      <c r="T20" s="5"/>
      <c r="U20" s="5"/>
      <c r="V20" s="5"/>
      <c r="W20" s="5"/>
      <c r="X20" s="5"/>
      <c r="Y20" s="5"/>
      <c r="Z20" s="5"/>
    </row>
    <row r="21" spans="1:26" ht="12.75" customHeight="1">
      <c r="A21" s="5"/>
      <c r="B21" s="5"/>
      <c r="C21" s="5"/>
      <c r="D21" s="5"/>
      <c r="E21" s="5"/>
      <c r="F21" s="5"/>
      <c r="G21" s="5"/>
      <c r="H21" s="5"/>
      <c r="I21" s="5"/>
      <c r="J21" s="5"/>
      <c r="K21" s="5"/>
      <c r="L21" s="5"/>
      <c r="M21" s="5"/>
      <c r="N21" s="5"/>
      <c r="O21" s="5"/>
      <c r="P21" s="5"/>
      <c r="Q21" s="5"/>
      <c r="R21" s="5"/>
      <c r="S21" s="5"/>
      <c r="T21" s="5"/>
      <c r="U21" s="5"/>
      <c r="V21" s="5"/>
      <c r="W21" s="5"/>
      <c r="X21" s="5"/>
      <c r="Y21" s="5"/>
      <c r="Z21" s="5"/>
    </row>
    <row r="22" spans="1:26" ht="12.75" customHeight="1">
      <c r="A22" s="5"/>
      <c r="B22" s="5"/>
      <c r="C22" s="5"/>
      <c r="D22" s="5"/>
      <c r="E22" s="5"/>
      <c r="F22" s="5"/>
      <c r="G22" s="5"/>
      <c r="H22" s="5"/>
      <c r="I22" s="5"/>
      <c r="J22" s="5"/>
      <c r="K22" s="5"/>
      <c r="L22" s="5"/>
      <c r="M22" s="5"/>
      <c r="N22" s="5"/>
      <c r="O22" s="5"/>
      <c r="P22" s="5"/>
      <c r="Q22" s="5"/>
      <c r="R22" s="5"/>
      <c r="S22" s="5"/>
      <c r="T22" s="5"/>
      <c r="U22" s="5"/>
      <c r="V22" s="5"/>
      <c r="W22" s="5"/>
      <c r="X22" s="5"/>
      <c r="Y22" s="5"/>
      <c r="Z22" s="5"/>
    </row>
    <row r="23" spans="1:26" ht="12.75" customHeight="1">
      <c r="A23" s="5"/>
      <c r="B23" s="5"/>
      <c r="C23" s="5"/>
      <c r="D23" s="5"/>
      <c r="E23" s="5"/>
      <c r="F23" s="5"/>
      <c r="G23" s="5"/>
      <c r="H23" s="5"/>
      <c r="I23" s="5"/>
      <c r="J23" s="5"/>
      <c r="K23" s="5"/>
      <c r="L23" s="5"/>
      <c r="M23" s="5"/>
      <c r="N23" s="5"/>
      <c r="O23" s="5"/>
      <c r="P23" s="5"/>
      <c r="Q23" s="5"/>
      <c r="R23" s="5"/>
      <c r="S23" s="5"/>
      <c r="T23" s="5"/>
      <c r="U23" s="5"/>
      <c r="V23" s="5"/>
      <c r="W23" s="5"/>
      <c r="X23" s="5"/>
      <c r="Y23" s="5"/>
      <c r="Z23" s="5"/>
    </row>
    <row r="24" spans="1:26" ht="12.75" customHeight="1">
      <c r="A24" s="5"/>
      <c r="B24" s="5"/>
      <c r="C24" s="5"/>
      <c r="D24" s="5"/>
      <c r="E24" s="5"/>
      <c r="F24" s="5"/>
      <c r="G24" s="5"/>
      <c r="H24" s="5"/>
      <c r="I24" s="5"/>
      <c r="J24" s="5"/>
      <c r="K24" s="5"/>
      <c r="L24" s="5"/>
      <c r="M24" s="5"/>
      <c r="N24" s="5"/>
      <c r="O24" s="5"/>
      <c r="P24" s="5"/>
      <c r="Q24" s="5"/>
      <c r="R24" s="5"/>
      <c r="S24" s="5"/>
      <c r="T24" s="5"/>
      <c r="U24" s="5"/>
      <c r="V24" s="5"/>
      <c r="W24" s="5"/>
      <c r="X24" s="5"/>
      <c r="Y24" s="5"/>
      <c r="Z24" s="5"/>
    </row>
    <row r="25" spans="1:26" ht="12.7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spans="1:26" ht="12.7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spans="1:26" ht="12.7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spans="1:26" ht="12.7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spans="1:26" ht="12.7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spans="1:26" ht="12.7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spans="1:26" ht="12.7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spans="1:26" ht="12.7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spans="1:26" ht="12.7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spans="1:26" ht="12.7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spans="1:26" ht="12.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spans="1:26" ht="12.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spans="1:26" ht="12.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spans="1:26" ht="12.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spans="1:26" ht="12.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spans="1:26" ht="12.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spans="1:26" ht="12.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spans="1:26" ht="12.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spans="1:26" ht="12.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spans="1:26" ht="12.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spans="1:26" ht="12.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spans="1:26" ht="12.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spans="1:26" ht="12.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spans="1:26" ht="12.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spans="1:26" ht="12.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spans="1:26" ht="12.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spans="1:26" ht="12.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spans="1:26" ht="12.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spans="1:26" ht="12.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spans="1:26" ht="12.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spans="1:26" ht="12.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spans="1:26" ht="12.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spans="1:26" ht="12.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spans="1:26" ht="12.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spans="1:26" ht="12.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spans="1:26" ht="12.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spans="1:26" ht="12.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spans="1:26" ht="12.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spans="1:26" ht="12.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spans="1:26" ht="12.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spans="1:26" ht="12.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spans="1:26" ht="12.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spans="1:26" ht="12.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spans="1:26" ht="12.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spans="1:26" ht="12.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spans="1:26" ht="12.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spans="1:26" ht="12.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spans="1:26" ht="12.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spans="1:26" ht="12.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spans="1:26" ht="12.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spans="1:26" ht="12.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spans="1:26" ht="12.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spans="1:26" ht="12.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spans="1:26" ht="12.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spans="1:26" ht="12.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spans="1:26" ht="12.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spans="1:26" ht="12.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spans="1:26" ht="12.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spans="1:26" ht="12.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spans="1:26" ht="12.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spans="1:26" ht="12.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spans="1:26" ht="12.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spans="1:26" ht="12.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spans="1:26" ht="12.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spans="1:26" ht="12.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spans="1:26" ht="12.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spans="1:26" ht="12.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spans="1:26" ht="12.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spans="1:26" ht="12.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spans="1:26" ht="12.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spans="1:26" ht="12.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spans="1:26" ht="12.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spans="1:26" ht="12.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spans="1:26" ht="12.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spans="1:26" ht="12.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spans="1:26" ht="12.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2.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2.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2.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2.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2.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2.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2.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2.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2.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2.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2.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2.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2.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2.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2.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2.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2.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2.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2.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2.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2.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2.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2.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2.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2.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2.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2.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2.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2.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2.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2.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2.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2.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2.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2.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2.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2.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2.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2.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2.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2.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2.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2.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2.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2.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2.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2.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2.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2.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2.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2.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2.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2.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2.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2.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2.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2.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2.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2.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2.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2.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2.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2.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2.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2.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2.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2.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2.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2.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2.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2.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2.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2.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2.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2.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2.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2.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2.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2.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2.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2.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2.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2.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2.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2.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2.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2.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2.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2.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2.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2.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2.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2.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2.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2.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2.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2.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2.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2.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2.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2.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2.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2.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2.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2.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2.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2.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2.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2.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2.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2.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2.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2.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2.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2.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2.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2.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2.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2.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2.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2.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2.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2.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2.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2.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2.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2.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2.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2.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2.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2.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2.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2.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2.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2.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2.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2.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2.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2.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2.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2.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2.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2.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2.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2.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2.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2.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2.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2.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2.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2.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2.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2.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2.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2.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2.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2.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2.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2.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2.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2.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2.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2.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2.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2.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2.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2.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2.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2.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2.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2.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2.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2.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2.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2.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2.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2.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2.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2.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2.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2.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2.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2.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2.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2.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2.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2.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2.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2.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2.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2.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2.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2.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2.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2.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2.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2.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2.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2.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2.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2.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2.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2.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2.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2.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2.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2.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2.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2.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2.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2.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2.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2.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2.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2.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2.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2.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2.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2.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2.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2.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2.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2.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2.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2.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2.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2.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2.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2.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2.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2.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2.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2.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2.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2.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2.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2.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2.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2.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2.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2.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2.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2.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2.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2.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2.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2.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2.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2.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2.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2.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2.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2.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2.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2.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2.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2.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2.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2.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2.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2.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2.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2.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2.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2.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2.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2.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2.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2.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2.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2.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2.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2.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2.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2.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2.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2.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2.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2.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2.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2.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2.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2.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2.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2.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2.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2.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2.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2.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2.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2.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2.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2.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2.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2.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2.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2.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2.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2.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2.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2.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2.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2.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2.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2.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2.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2.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2.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2.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2.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2.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2.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2.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2.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2.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2.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2.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2.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2.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2.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2.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2.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2.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2.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2.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2.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2.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2.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2.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2.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2.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2.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2.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2.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2.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2.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2.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2.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2.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2.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2.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2.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2.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2.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2.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2.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2.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2.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2.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2.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2.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2.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2.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2.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2.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2.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2.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2.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2.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2.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2.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2.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2.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2.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2.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2.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2.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2.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2.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2.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2.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2.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2.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2.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2.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2.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2.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2.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2.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2.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2.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2.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2.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2.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2.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2.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2.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2.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2.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2.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2.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2.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2.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2.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2.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2.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2.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2.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2.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2.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2.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2.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2.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2.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2.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2.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2.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2.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2.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2.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2.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2.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2.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2.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2.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2.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2.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2.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2.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2.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2.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2.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2.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2.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2.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2.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2.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2.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2.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2.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2.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2.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2.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2.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2.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2.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2.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2.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2.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2.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2.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2.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2.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2.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2.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2.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2.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2.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2.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2.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2.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2.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2.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2.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2.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2.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2.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2.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2.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2.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2.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2.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2.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2.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2.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2.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2.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2.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2.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2.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2.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2.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2.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2.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2.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2.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2.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2.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2.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2.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2.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2.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2.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2.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2.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2.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2.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2.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2.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2.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2.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2.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2.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2.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2.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2.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2.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2.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2.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2.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2.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2.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2.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2.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2.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2.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2.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2.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2.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2.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2.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2.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2.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2.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2.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2.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2.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2.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2.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2.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2.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2.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2.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2.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2.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2.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2.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2.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2.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2.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2.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2.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2.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2.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2.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2.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2.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2.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2.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2.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2.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2.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2.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2.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2.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2.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2.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2.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2.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2.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2.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2.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2.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2.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2.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2.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2.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2.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2.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2.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2.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2.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2.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2.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2.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2.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2.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2.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2.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2.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2.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2.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2.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2.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2.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2.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2.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2.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2.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2.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2.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2.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2.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2.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2.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2.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2.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2.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2.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2.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2.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2.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2.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2.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2.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2.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2.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2.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2.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2.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2.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2.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2.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2.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2.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2.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2.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2.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2.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2.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2.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2.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2.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2.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2.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2.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2.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2.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2.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2.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2.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2.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2.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2.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2.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2.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2.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2.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2.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2.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2.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2.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2.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2.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2.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2.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2.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2.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2.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2.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2.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2.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2.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2.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2.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2.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2.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2.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2.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2.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2.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2.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2.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2.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2.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2.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2.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2.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2.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2.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2.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2.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2.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2.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2.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2.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2.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2.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2.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2.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2.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2.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2.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2.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2.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2.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2.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2.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2.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2.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2.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2.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2.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2.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2.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2.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2.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2.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2.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2.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2.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2.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2.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2.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2.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2.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2.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2.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2.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2.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2.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2.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2.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2.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2.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2.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2.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2.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2.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2.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2.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2.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2.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2.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2.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2.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2.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2.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2.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2.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2.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2.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2.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2.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2.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2.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2.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2.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2.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2.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2.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2.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2.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2.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2.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2.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2.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2.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2.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2.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2.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2.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2.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2.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2.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2.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2.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2.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2.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2.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2.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2.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2.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2.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2.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2.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2.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2.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2.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2.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2.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2.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2.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2.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2.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2.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2.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2.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2.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2.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2.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2.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2.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2.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2.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2.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2.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2.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2.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2.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2.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2.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2.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2.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2.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2.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2.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2.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2.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2.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2.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2.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2.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2.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2.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2.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2.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2.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2.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2.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2.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2.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2.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2.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2.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2.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2.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2.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2.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2.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2.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2.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2.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2.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2.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2.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2.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2.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2.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2.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2.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2.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2.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2.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2.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2.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2.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2.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2.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2.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2.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2.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2.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2.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2.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2.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2.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2.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2.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2.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2.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2.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2.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2.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2.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2.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2.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2.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2.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2.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2.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2.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2.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2.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2.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2.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2.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2.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2.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2.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2.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2.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2.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2.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2.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2.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2.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2.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2.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2.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2.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2.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2.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2.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2.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2.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2.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2.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2.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2.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2.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2.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2.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2.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2.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2.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2.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2.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2.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2.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2.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2.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2.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2.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2.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2.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2.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2.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2.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2.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4">
    <mergeCell ref="A1:H2"/>
    <mergeCell ref="A3:B3"/>
    <mergeCell ref="D3:H3"/>
    <mergeCell ref="K3:N3"/>
  </mergeCells>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BADAD4AA324BF48804EF76FD903323C" ma:contentTypeVersion="15" ma:contentTypeDescription="Create a new document." ma:contentTypeScope="" ma:versionID="4ea0feda506421460444ca95554a0aab">
  <xsd:schema xmlns:xsd="http://www.w3.org/2001/XMLSchema" xmlns:xs="http://www.w3.org/2001/XMLSchema" xmlns:p="http://schemas.microsoft.com/office/2006/metadata/properties" xmlns:ns2="5ff92c65-ed86-4457-baee-ccd535c9ea21" xmlns:ns3="6c8d291c-a5bf-4049-930d-38db8e991d8e" targetNamespace="http://schemas.microsoft.com/office/2006/metadata/properties" ma:root="true" ma:fieldsID="0fc8cf7d0f5ee312899395875a30595e" ns2:_="" ns3:_="">
    <xsd:import namespace="5ff92c65-ed86-4457-baee-ccd535c9ea21"/>
    <xsd:import namespace="6c8d291c-a5bf-4049-930d-38db8e991d8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f92c65-ed86-4457-baee-ccd535c9ea2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365a90ea-d0e7-4aae-8ef9-9f5dd1eb65e3"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Location" ma:index="21"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8d291c-a5bf-4049-930d-38db8e991d8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2ad53588-c864-4711-ad43-fad96b40598a}" ma:internalName="TaxCatchAll" ma:showField="CatchAllData" ma:web="6c8d291c-a5bf-4049-930d-38db8e991d8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ff92c65-ed86-4457-baee-ccd535c9ea21">
      <Terms xmlns="http://schemas.microsoft.com/office/infopath/2007/PartnerControls"/>
    </lcf76f155ced4ddcb4097134ff3c332f>
    <TaxCatchAll xmlns="6c8d291c-a5bf-4049-930d-38db8e991d8e"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F4F432-C7C0-460B-B718-CA5C7D43A268}"/>
</file>

<file path=customXml/itemProps2.xml><?xml version="1.0" encoding="utf-8"?>
<ds:datastoreItem xmlns:ds="http://schemas.openxmlformats.org/officeDocument/2006/customXml" ds:itemID="{C5072705-B970-4C6A-9B95-6E8AEA4192EE}"/>
</file>

<file path=customXml/itemProps3.xml><?xml version="1.0" encoding="utf-8"?>
<ds:datastoreItem xmlns:ds="http://schemas.openxmlformats.org/officeDocument/2006/customXml" ds:itemID="{4D1E7A10-6C2D-4580-A4D2-EC7B8465FD3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Grigg, Robert</dc:creator>
  <cp:keywords/>
  <dc:description/>
  <cp:lastModifiedBy/>
  <cp:revision/>
  <dcterms:created xsi:type="dcterms:W3CDTF">2020-09-10T10:56:24Z</dcterms:created>
  <dcterms:modified xsi:type="dcterms:W3CDTF">2024-11-19T09:56:26Z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0x0101000BADAD4AA324BF48804EF76FD903323C</vt:lpwstr>
  </property>
  <property fmtid="{D5CDD505-2E9C-101B-9397-08002B2CF9AE}" pid="3" name="Order">
    <vt:r8>1900</vt:r8>
  </property>
  <property fmtid="{D5CDD505-2E9C-101B-9397-08002B2CF9AE}" pid="4" name="xd_Signature">
    <vt:bool>false</vt:bool>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MediaServiceImageTags">
    <vt:lpwstr/>
  </property>
</Properties>
</file>